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Hector.Morales\Downloads\"/>
    </mc:Choice>
  </mc:AlternateContent>
  <xr:revisionPtr revIDLastSave="0" documentId="8_{5B315DAD-4596-44C3-8C16-E47204867DB0}" xr6:coauthVersionLast="47" xr6:coauthVersionMax="47" xr10:uidLastSave="{00000000-0000-0000-0000-000000000000}"/>
  <bookViews>
    <workbookView xWindow="768" yWindow="768" windowWidth="17280" windowHeight="9420" firstSheet="3" xr2:uid="{4B47439F-C050-49FD-8D97-C5CBC4278041}"/>
  </bookViews>
  <sheets>
    <sheet name="Auditoria" sheetId="1" r:id="rId1"/>
    <sheet name="Contabilidad" sheetId="5" r:id="rId2"/>
    <sheet name="Impuestos" sheetId="6" r:id="rId3"/>
    <sheet name="Devoluciones" sheetId="8" r:id="rId4"/>
    <sheet name="Resultado Migracion Auditoria" sheetId="10" r:id="rId5"/>
    <sheet name="Pediente" sheetId="11" r:id="rId6"/>
  </sheets>
  <definedNames>
    <definedName name="_xlnm._FilterDatabase" localSheetId="1" hidden="1">Contabilidad!$A$1:$G$52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8" l="1"/>
  <c r="F56" i="5"/>
  <c r="J4" i="6"/>
</calcChain>
</file>

<file path=xl/sharedStrings.xml><?xml version="1.0" encoding="utf-8"?>
<sst xmlns="http://schemas.openxmlformats.org/spreadsheetml/2006/main" count="802" uniqueCount="276">
  <si>
    <t>Auditoria</t>
  </si>
  <si>
    <t>Carpeta</t>
  </si>
  <si>
    <t xml:space="preserve"> Estatus</t>
  </si>
  <si>
    <t>Periodo de migracion</t>
  </si>
  <si>
    <t>Inicio</t>
  </si>
  <si>
    <t>Fin</t>
  </si>
  <si>
    <t>Carpeta Destino en Cleintes_General</t>
  </si>
  <si>
    <t xml:space="preserve"> Auditoria Energiamas 2023</t>
  </si>
  <si>
    <t>COMPLETADO</t>
  </si>
  <si>
    <t>Tercera fase</t>
  </si>
  <si>
    <t> </t>
  </si>
  <si>
    <t>Grupo Energiamas S A PI de CV</t>
  </si>
  <si>
    <t> CONCAMIN 2022</t>
  </si>
  <si>
    <t>Concamin</t>
  </si>
  <si>
    <t>2 Energiamas 2025</t>
  </si>
  <si>
    <t>Primera fase</t>
  </si>
  <si>
    <t>4 Starplast 2025</t>
  </si>
  <si>
    <t>Startplast, SA de C V</t>
  </si>
  <si>
    <t>6 IMEEC</t>
  </si>
  <si>
    <t>Segunda fase</t>
  </si>
  <si>
    <t>IMEEC</t>
  </si>
  <si>
    <t>Alimentos EFA 2020</t>
  </si>
  <si>
    <t>Alimentos EFA, S A de C V/Auditoria</t>
  </si>
  <si>
    <t>Alimentos EFA 2021</t>
  </si>
  <si>
    <t>Alimentos EFA 2022</t>
  </si>
  <si>
    <t> 04/05/2026</t>
  </si>
  <si>
    <t>Alimentos EFA 2023</t>
  </si>
  <si>
    <t>Alimentos EFA 2024</t>
  </si>
  <si>
    <t>Alimentos EFA 2025</t>
  </si>
  <si>
    <t>Alimentos EFA 2026</t>
  </si>
  <si>
    <t>Auditoria AVF 2022</t>
  </si>
  <si>
    <t>INUSTRIAS AVF</t>
  </si>
  <si>
    <t>Auditoria AVF 2023</t>
  </si>
  <si>
    <t>Auditoria Ultracongelados 2022</t>
  </si>
  <si>
    <t>Ultracongelados</t>
  </si>
  <si>
    <t>AVF Arnulfo 2021</t>
  </si>
  <si>
    <t>Candora 2024</t>
  </si>
  <si>
    <t>Candora Internacional, S A de C V</t>
  </si>
  <si>
    <t>CISA 2022-2023</t>
  </si>
  <si>
    <t>CISA</t>
  </si>
  <si>
    <t>Concamin 2020</t>
  </si>
  <si>
    <t>Pendiente por mover</t>
  </si>
  <si>
    <t>CONCAMIN 2023</t>
  </si>
  <si>
    <t>CONCAMIN 2024</t>
  </si>
  <si>
    <t>Concamin 2025</t>
  </si>
  <si>
    <t>Efa</t>
  </si>
  <si>
    <t>Alimentos EFA, S A de C V/Auditoria/ISN</t>
  </si>
  <si>
    <t>EFA Audit Seg Social 2023</t>
  </si>
  <si>
    <t>Alimentos EFA, S A de C V/Auditoria/IMSS</t>
  </si>
  <si>
    <t>EFA Dictamen IMSS 2020</t>
  </si>
  <si>
    <t>EFA Dictamen IMSS 2022</t>
  </si>
  <si>
    <t>Energiamas 2020</t>
  </si>
  <si>
    <t>Energiamas 2022</t>
  </si>
  <si>
    <t>Energiamas 24</t>
  </si>
  <si>
    <t>Ferremarca 2020</t>
  </si>
  <si>
    <t>Grupo Empresrial Ocozocoautla</t>
  </si>
  <si>
    <t>Ferremarca 2021</t>
  </si>
  <si>
    <t>Gasolineras 2020</t>
  </si>
  <si>
    <t>Gasolineras</t>
  </si>
  <si>
    <t>Gasolineras 2021</t>
  </si>
  <si>
    <t>Gpo Ocoz Dic 22 (planeacion)</t>
  </si>
  <si>
    <t>Grupo Biologicas 2020</t>
  </si>
  <si>
    <t>Grupo Congelados 2023</t>
  </si>
  <si>
    <t>Grupo Congelados2024</t>
  </si>
  <si>
    <t>Grupo Energiamas Auditoria 2021</t>
  </si>
  <si>
    <t>Grupo Ocozocoautla 2024</t>
  </si>
  <si>
    <t>Grupo Ocozocoautla 2025</t>
  </si>
  <si>
    <t>Grupo Ocozz 2023</t>
  </si>
  <si>
    <t>IMEEC 2024</t>
  </si>
  <si>
    <t>IMNC 2020</t>
  </si>
  <si>
    <t>IMNC</t>
  </si>
  <si>
    <t>IMNC Audotoria 2023</t>
  </si>
  <si>
    <t>IMNC Definitivo</t>
  </si>
  <si>
    <t>  04/05/2026</t>
  </si>
  <si>
    <t>Prestadoras 2020</t>
  </si>
  <si>
    <t>Prestadoras 2022</t>
  </si>
  <si>
    <t>Prestadoras 2024</t>
  </si>
  <si>
    <t>Spraylab 2023</t>
  </si>
  <si>
    <t>Spraylab 2025</t>
  </si>
  <si>
    <t>Spraylab 24</t>
  </si>
  <si>
    <t>Spraylab Auditoria 2022 Definitivo</t>
  </si>
  <si>
    <t>Sprylab 2020</t>
  </si>
  <si>
    <t>Sprylab Auditoria 2021</t>
  </si>
  <si>
    <t>Starplast 24</t>
  </si>
  <si>
    <t>Tiendas 2020</t>
  </si>
  <si>
    <t>Tiendas 2021</t>
  </si>
  <si>
    <t>Vanguardia</t>
  </si>
  <si>
    <t>Contabilidad</t>
  </si>
  <si>
    <t>Peso</t>
  </si>
  <si>
    <t>Ubicacion Clientes General</t>
  </si>
  <si>
    <t>ABOVE TARGET S, DE R.L. DE C.V.</t>
  </si>
  <si>
    <t>MIGRADO</t>
  </si>
  <si>
    <t>Primera etapa</t>
  </si>
  <si>
    <t>ABOVE TARGET S, DE RL DE CV</t>
  </si>
  <si>
    <t>ALTA CONDUSTIVIDAD REFINA, S.A. DE C.V.</t>
  </si>
  <si>
    <t>ALTA CONDUSTIVIDAD REFINA, SA DE CV/Contabilidad</t>
  </si>
  <si>
    <t>ANA BELEM HERRERO CUEVAS</t>
  </si>
  <si>
    <t>MIGRANDO</t>
  </si>
  <si>
    <t>ARANZATZU HERRERO ISLA</t>
  </si>
  <si>
    <t>CAMPO SERVICIOS, S.A. DE C.V.</t>
  </si>
  <si>
    <t>CAMPO SERVICIOS, SA DE CV</t>
  </si>
  <si>
    <t>CAPACITACION Y EDUCACION CON VALOR SA DE CV</t>
  </si>
  <si>
    <t>COMERCIALIZADORA BACCSAR, S.A. DE C.V.</t>
  </si>
  <si>
    <t>COMERCIALIZADORA BACCSAR, SA DE CV</t>
  </si>
  <si>
    <t>CONTROLES Y SERVICIOS, S.A.</t>
  </si>
  <si>
    <t>CONTROLES Y SERVICIOS, SA</t>
  </si>
  <si>
    <t>DESARROLARODA DEL MACTUMATZA, S.A. DE C.V.</t>
  </si>
  <si>
    <t>DESARROLARODA DEL MACTUMATZA, SA DE CV</t>
  </si>
  <si>
    <t>DESTILADOS IBÁ SA DE CV</t>
  </si>
  <si>
    <t>DESTILADOS IBA, SA DE CV</t>
  </si>
  <si>
    <t>EMLURP S.A. de C.V.</t>
  </si>
  <si>
    <t>EMLURP SA de CV</t>
  </si>
  <si>
    <t>ESANJO, S.A.P.I. DE C.V.</t>
  </si>
  <si>
    <t>Esanjo, SAPI de CV</t>
  </si>
  <si>
    <t>FMR EQUIPOS INDUSTRIALES, S.A. DE C.V.</t>
  </si>
  <si>
    <t>FMR EQUIPOS INDUSTRIALES, SA DE CV</t>
  </si>
  <si>
    <t>Fundacion Concamin AC</t>
  </si>
  <si>
    <t>GRUPO EBPH, S.A. DE C.V.</t>
  </si>
  <si>
    <t>GRUPO EBPH, SA DE CV</t>
  </si>
  <si>
    <t>Grupo Ferremarca de Mexico SA de CV</t>
  </si>
  <si>
    <t>Grupo Ferremarca de México, SA de CV</t>
  </si>
  <si>
    <t>HEA HOLDING EL ANGEL, S.A. DE C.V.</t>
  </si>
  <si>
    <t>HEA HOLDING EL ANGEL, SA DE CV</t>
  </si>
  <si>
    <t>Higuera Velazquez Asociados</t>
  </si>
  <si>
    <t>Pendiente</t>
  </si>
  <si>
    <t>HVA Especialistas en Consultoria</t>
  </si>
  <si>
    <t>INDUSTRIAS AVF HOLDING, S.A. DE C.V.</t>
  </si>
  <si>
    <t>INDUSTRIAS AVF HOLDING, SA DE CV</t>
  </si>
  <si>
    <t>INMOBILIARIA ECO ESPACIOS, S.A. DE C.V.</t>
  </si>
  <si>
    <t>INMOBILIARIA ECO ESPACIOS, SA DE CV</t>
  </si>
  <si>
    <t>Inmobiliaria PHV S.A. de C.V.</t>
  </si>
  <si>
    <t>Inmobiliaria PHV SA de CV</t>
  </si>
  <si>
    <t>JOSE ANTONIO HERRERO ISLA</t>
  </si>
  <si>
    <t>JOSE ANTONIO HERRERO LORA</t>
  </si>
  <si>
    <t>JOSE IVAN SARMIENTO RUBIO</t>
  </si>
  <si>
    <t>JOSE RAMON RIESTRA ECHENIQUE</t>
  </si>
  <si>
    <t>JOSE RAMON RIESTRA RUBIN</t>
  </si>
  <si>
    <t>JUAN MANUEL VALENZUELA POUS</t>
  </si>
  <si>
    <t>JUANA TERESA RUBIN CASO</t>
  </si>
  <si>
    <t>LA CAVA DE LA MALINCHE SA DE CV</t>
  </si>
  <si>
    <t>13/5/2026</t>
  </si>
  <si>
    <t>LA GARITA TELUPEM SPR DE RL DE CV</t>
  </si>
  <si>
    <t xml:space="preserve">LA GARITA TELUPEM </t>
  </si>
  <si>
    <t>Laped SA de CV</t>
  </si>
  <si>
    <t>MARIA DEL CARMEN PICOS GONZALEZ</t>
  </si>
  <si>
    <t>MARIA JIMENA HERRERO CUEVAS</t>
  </si>
  <si>
    <t>MEGS BIENES RAICES SA DE CV</t>
  </si>
  <si>
    <t>MULTIPLICACIÓN DE OPORTUNIDADES, A.C.</t>
  </si>
  <si>
    <t>MULTIPLICACIÓN DE OPORTUNIDADES, AC</t>
  </si>
  <si>
    <t>PEDRO HIGUERA TRINIDAD</t>
  </si>
  <si>
    <t>PEDRO HIGUERA VELAZQUEZ</t>
  </si>
  <si>
    <t>PRIMA LA MUCCA SAPI DE CV</t>
  </si>
  <si>
    <t>14/5/2026</t>
  </si>
  <si>
    <t>Prima la Mucca, SAPI de CV / Contabilidad</t>
  </si>
  <si>
    <t>RANCHO ARUPLA, S. DE R.L. DE C.V.</t>
  </si>
  <si>
    <t>RANCHO ARUPLA, S DE RL DE CV</t>
  </si>
  <si>
    <t>RANCHO MOREDA, S. DE R.L. DE C.V.</t>
  </si>
  <si>
    <t>Rancho Moreda, S de RL / Contabilidad</t>
  </si>
  <si>
    <t>RIECH, S.A. DE C.V.</t>
  </si>
  <si>
    <t>RIECH, SA DE CV</t>
  </si>
  <si>
    <t>SANTVEL INMOBILIARIA, S.A. DE C.V.</t>
  </si>
  <si>
    <t>SANTVEL INMOBILIARIA, SA DE CV</t>
  </si>
  <si>
    <t>SARMIENTO Y BARRAGAN ABOGADOS, S.C.</t>
  </si>
  <si>
    <t>SARMIENTO Y BARRAGAN ABOGADOS, SC</t>
  </si>
  <si>
    <t>SAUD ELENA SAID DOMÍNGUEZ</t>
  </si>
  <si>
    <t>Servicio Emrop SA de CV</t>
  </si>
  <si>
    <t>ULLEA, S.A.P.I. DE C.V.</t>
  </si>
  <si>
    <t>ULLEA</t>
  </si>
  <si>
    <t>VANGUARDIA TERMICA, S.A. DE C.V.</t>
  </si>
  <si>
    <t>VANGUARDIA TERMICA, SA DE CV</t>
  </si>
  <si>
    <t>VICTOR MAZUTTI  SOTO</t>
  </si>
  <si>
    <t>VICTOR/Contabilidad</t>
  </si>
  <si>
    <t>YOLANDA CUEVAS BALDOR</t>
  </si>
  <si>
    <t>CANTELLI</t>
  </si>
  <si>
    <t>MOREDA</t>
  </si>
  <si>
    <t>TOTAL</t>
  </si>
  <si>
    <t>Impuestos</t>
  </si>
  <si>
    <t>Peso GB</t>
  </si>
  <si>
    <t>Industrias AVF 2025</t>
  </si>
  <si>
    <t>Industrias AVF 2024</t>
  </si>
  <si>
    <t>Total pes</t>
  </si>
  <si>
    <t>Documentos 2026</t>
  </si>
  <si>
    <t>Miriam Respaldo Anterior</t>
  </si>
  <si>
    <t>Proyectos 2023</t>
  </si>
  <si>
    <t>Proyectos 2024</t>
  </si>
  <si>
    <t>Proyectos 2025</t>
  </si>
  <si>
    <t>Proyectos 2026</t>
  </si>
  <si>
    <t>PENDIENTE</t>
  </si>
  <si>
    <t>Migracion Info Fernanda</t>
  </si>
  <si>
    <t>Tercera parte</t>
  </si>
  <si>
    <t>Devoluciones</t>
  </si>
  <si>
    <t>PESO GB</t>
  </si>
  <si>
    <t>ALIMENTOS EFA, S.A. DE C.V.</t>
  </si>
  <si>
    <t>SEGUNDA FASE</t>
  </si>
  <si>
    <t>Alimentos EFA, S A de C V/Devoluciones</t>
  </si>
  <si>
    <t>AMI AUTOMATIZACION S DE RL DE CV</t>
  </si>
  <si>
    <t>QUINTA FASE</t>
  </si>
  <si>
    <t>AMI AUTOMATIZACION/Devoluciones</t>
  </si>
  <si>
    <t>AMI INTERNACIONAL S DE RL DE CV</t>
  </si>
  <si>
    <t>Ami Internacional</t>
  </si>
  <si>
    <t>ANTONIO CASAZZA MORAYTA</t>
  </si>
  <si>
    <t>TERCERA FASE</t>
  </si>
  <si>
    <t>antonio casazza morayta/Devoluciones</t>
  </si>
  <si>
    <t>ASESORIAS</t>
  </si>
  <si>
    <t>22/5/2026</t>
  </si>
  <si>
    <t>CLIENTES_ANTRIORES_DEVOLUCIONES</t>
  </si>
  <si>
    <t>BODEGA DEL CHEF, S.A. DE C.V.</t>
  </si>
  <si>
    <t>CARDEA CANDY, S.A. DE C.V.</t>
  </si>
  <si>
    <t>Cardea Candy, SA de CV/Devoluciones</t>
  </si>
  <si>
    <t>CARDEA TRADING, S.A. DE C.V.</t>
  </si>
  <si>
    <t>Cardea Tranding SA de CV/Devoluciones</t>
  </si>
  <si>
    <t>Clientes Anteriores</t>
  </si>
  <si>
    <t>COMERCIAL CARNES FRIAS DEL NORTE, S.A. DE C.V.</t>
  </si>
  <si>
    <t>PRIMER FASE</t>
  </si>
  <si>
    <t>Comercial Carner Frias del Norte SA de CV</t>
  </si>
  <si>
    <t>CONSESIONARIA AUTOPISTA CARDEL POZA RICA SA DE CV</t>
  </si>
  <si>
    <t>18/5/2026</t>
  </si>
  <si>
    <t>CONSESIONARIA AUTOPISTA TUXPAN TAMPICO SA DE CV</t>
  </si>
  <si>
    <t>CORPORATIVO PORCICOLA CAMRI, S.A. DE C.V.</t>
  </si>
  <si>
    <t>Corporativo Porcicola Camri, SA de CV</t>
  </si>
  <si>
    <t>CORPORATIVO PORCICOLA CON MARCA, S.A. DE C.V.</t>
  </si>
  <si>
    <t>Corporativo Porcicola con Marca,SA de CV</t>
  </si>
  <si>
    <t>Espinosa Garcia Gerardo</t>
  </si>
  <si>
    <t>Espinosa Garcia Gerardo/Devoluciones</t>
  </si>
  <si>
    <t>GABRIEL SUAREZ MARINA</t>
  </si>
  <si>
    <t>19/5/2026</t>
  </si>
  <si>
    <t>Gabriel Suarez Marina</t>
  </si>
  <si>
    <t>GERARDO GUTIERREZ CANDIANI</t>
  </si>
  <si>
    <t>Gerardo Gutierrez Candiani/Devoluciones</t>
  </si>
  <si>
    <t>GIFAN INTERNACIONAL, S. DE R.L. DE C.V.</t>
  </si>
  <si>
    <t>Gifan Internacional, S de RL de CV</t>
  </si>
  <si>
    <t>GRUPO DE ALMACENAMIENTO DE COMBUSTIBLES ADITIVAD</t>
  </si>
  <si>
    <t>Grupo de Almacenamiento de Combustibles Aditativos, SAPI de CV</t>
  </si>
  <si>
    <t>KROMBERG &amp; SCHUBERT MEXICO LE, S. DE R.L. DE C.V.</t>
  </si>
  <si>
    <t>Kromberg &amp; Schubert Mexico le, Sde RL de CV</t>
  </si>
  <si>
    <t>TOTAL PESO GB</t>
  </si>
  <si>
    <t>LA COMIDA CON SABOR  A MEXICO SA DE CV</t>
  </si>
  <si>
    <t>La Comida con Sabor a Mexico SA de CV</t>
  </si>
  <si>
    <t>MD ELEKTTRONIK DE MEXICO S DE RL DE CV</t>
  </si>
  <si>
    <t xml:space="preserve">NATURAL FOODS SEEDS, S.A. DE C.V. </t>
  </si>
  <si>
    <t>Natural Foods Seeds, SA de CV/Devoluciones</t>
  </si>
  <si>
    <t xml:space="preserve">PORCIMARCA, S.A. DE C.V. </t>
  </si>
  <si>
    <t>Porcimarca, SA de CV</t>
  </si>
  <si>
    <t>PRIMA LA MUCCA, S.A.P. DE C.V.</t>
  </si>
  <si>
    <t>Prima la Mucca, SAPI de CV/Devoluciones</t>
  </si>
  <si>
    <t>PRODUCTO DE ALTA REPOSTERIA</t>
  </si>
  <si>
    <t>RANCHO MOREDA, S. DE R.L.</t>
  </si>
  <si>
    <t>Rancho Moreda, S de RL/Devoluciones</t>
  </si>
  <si>
    <t>RANCHO SAN EPIGMEO SA DE CV</t>
  </si>
  <si>
    <t>STARPLAST MEXICO, S.A. DE C.V.</t>
  </si>
  <si>
    <t>Startplast, S A de CV/Devoluciones</t>
  </si>
  <si>
    <t>VICTOR MAZUTTI SOTO</t>
  </si>
  <si>
    <t>VICTOR</t>
  </si>
  <si>
    <t>Wartsila Power Project Mexico, S.A. DE C.V.</t>
  </si>
  <si>
    <t>Wartsila Power Project Mexico, S.A. DE C.V./Devoluciones</t>
  </si>
  <si>
    <t xml:space="preserve">Munsa Molinos </t>
  </si>
  <si>
    <t>28/5/2026</t>
  </si>
  <si>
    <t>29/5/2026</t>
  </si>
  <si>
    <t>Munsa Molinos</t>
  </si>
  <si>
    <t>RG NEGOCIOS DINAMICOS  S RL de CV</t>
  </si>
  <si>
    <t xml:space="preserve">ASESORIAS MIGUEL </t>
  </si>
  <si>
    <t>Auditorias</t>
  </si>
  <si>
    <t>Energia mas</t>
  </si>
  <si>
    <t>Migrado</t>
  </si>
  <si>
    <t>Alimentos EFA</t>
  </si>
  <si>
    <t>Starplast</t>
  </si>
  <si>
    <t>Migrado  (1)</t>
  </si>
  <si>
    <t>Spraylab</t>
  </si>
  <si>
    <t>Grupo Ocozocoautla</t>
  </si>
  <si>
    <t>Candora</t>
  </si>
  <si>
    <t>Grupo Congelados</t>
  </si>
  <si>
    <t xml:space="preserve">AVF </t>
  </si>
  <si>
    <t>Migrando</t>
  </si>
  <si>
    <t>Trabajos IMSS</t>
  </si>
  <si>
    <t>Prestadoras</t>
  </si>
  <si>
    <t>Trabajos ISN (Contribuciones locales)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</si>
</sst>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theme="3" tint="0.249977111117893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CD5937"/>
      <name val="Calibri"/>
      <family val="2"/>
    </font>
    <font>
      <sz val="11"/>
      <color rgb="FF000000"/>
      <name val="Aptos Narrow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</font>
    <font>
      <sz val="11"/>
      <color rgb="FF00B05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B050"/>
      <name val="Aptos Narrow"/>
      <scheme val="minor"/>
    </font>
    <font>
      <sz val="11"/>
      <color rgb="FF242424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215C98"/>
      <name val="Aptos Narrow"/>
      <family val="2"/>
      <scheme val="minor"/>
    </font>
    <font>
      <sz val="11"/>
      <color rgb="FF00000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3" borderId="0" xfId="0" applyFont="1" applyFill="1"/>
    <xf numFmtId="0" fontId="7" fillId="4" borderId="0" xfId="0" applyFont="1" applyFill="1"/>
    <xf numFmtId="0" fontId="9" fillId="0" borderId="0" xfId="0" applyFont="1" applyAlignment="1">
      <alignment wrapText="1"/>
    </xf>
    <xf numFmtId="0" fontId="10" fillId="0" borderId="0" xfId="0" applyFont="1"/>
    <xf numFmtId="0" fontId="4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/>
    <xf numFmtId="14" fontId="0" fillId="0" borderId="1" xfId="0" applyNumberFormat="1" applyBorder="1"/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13" fillId="0" borderId="11" xfId="0" applyFont="1" applyBorder="1"/>
    <xf numFmtId="14" fontId="11" fillId="0" borderId="7" xfId="0" applyNumberFormat="1" applyFont="1" applyBorder="1"/>
    <xf numFmtId="14" fontId="11" fillId="0" borderId="13" xfId="0" applyNumberFormat="1" applyFont="1" applyBorder="1"/>
    <xf numFmtId="14" fontId="0" fillId="0" borderId="7" xfId="0" applyNumberFormat="1" applyBorder="1"/>
    <xf numFmtId="0" fontId="0" fillId="0" borderId="3" xfId="0" applyBorder="1"/>
    <xf numFmtId="14" fontId="0" fillId="0" borderId="5" xfId="0" applyNumberFormat="1" applyBorder="1"/>
    <xf numFmtId="0" fontId="0" fillId="0" borderId="7" xfId="0" applyBorder="1"/>
    <xf numFmtId="0" fontId="2" fillId="0" borderId="12" xfId="0" applyFont="1" applyBorder="1" applyAlignment="1">
      <alignment horizontal="center"/>
    </xf>
    <xf numFmtId="14" fontId="0" fillId="0" borderId="16" xfId="0" applyNumberFormat="1" applyBorder="1"/>
    <xf numFmtId="0" fontId="2" fillId="0" borderId="7" xfId="0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4" borderId="1" xfId="0" applyFill="1" applyBorder="1"/>
    <xf numFmtId="0" fontId="13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7" xfId="0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7" xfId="0" applyFill="1" applyBorder="1" applyAlignment="1">
      <alignment horizontal="center"/>
    </xf>
    <xf numFmtId="0" fontId="4" fillId="7" borderId="1" xfId="0" applyFont="1" applyFill="1" applyBorder="1"/>
    <xf numFmtId="14" fontId="0" fillId="7" borderId="1" xfId="0" applyNumberFormat="1" applyFill="1" applyBorder="1"/>
    <xf numFmtId="14" fontId="0" fillId="0" borderId="2" xfId="0" applyNumberFormat="1" applyBorder="1"/>
    <xf numFmtId="0" fontId="14" fillId="0" borderId="6" xfId="0" applyFont="1" applyBorder="1"/>
    <xf numFmtId="0" fontId="15" fillId="0" borderId="6" xfId="0" applyFont="1" applyBorder="1"/>
    <xf numFmtId="14" fontId="14" fillId="0" borderId="6" xfId="0" applyNumberFormat="1" applyFont="1" applyBorder="1"/>
    <xf numFmtId="0" fontId="14" fillId="0" borderId="6" xfId="0" applyFont="1" applyBorder="1" applyAlignment="1">
      <alignment horizontal="right"/>
    </xf>
    <xf numFmtId="0" fontId="14" fillId="0" borderId="9" xfId="0" applyFont="1" applyBorder="1" applyAlignment="1">
      <alignment horizontal="right"/>
    </xf>
    <xf numFmtId="0" fontId="14" fillId="0" borderId="8" xfId="0" applyFont="1" applyBorder="1"/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0" fontId="17" fillId="0" borderId="8" xfId="0" applyFont="1" applyBorder="1" applyAlignment="1">
      <alignment horizontal="center"/>
    </xf>
    <xf numFmtId="14" fontId="14" fillId="0" borderId="8" xfId="0" applyNumberFormat="1" applyFont="1" applyBorder="1"/>
    <xf numFmtId="0" fontId="14" fillId="0" borderId="8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17" xfId="0" applyFont="1" applyBorder="1" applyAlignment="1">
      <alignment horizontal="left"/>
    </xf>
    <xf numFmtId="0" fontId="15" fillId="0" borderId="9" xfId="0" applyFont="1" applyBorder="1"/>
    <xf numFmtId="0" fontId="14" fillId="0" borderId="9" xfId="0" applyFont="1" applyBorder="1"/>
    <xf numFmtId="0" fontId="3" fillId="0" borderId="0" xfId="0" applyFont="1"/>
    <xf numFmtId="0" fontId="14" fillId="0" borderId="7" xfId="0" applyFont="1" applyBorder="1" applyAlignment="1">
      <alignment horizontal="left"/>
    </xf>
    <xf numFmtId="0" fontId="15" fillId="0" borderId="7" xfId="0" applyFont="1" applyBorder="1"/>
    <xf numFmtId="0" fontId="14" fillId="0" borderId="7" xfId="0" applyFont="1" applyBorder="1"/>
    <xf numFmtId="0" fontId="6" fillId="0" borderId="5" xfId="0" applyFont="1" applyBorder="1"/>
    <xf numFmtId="0" fontId="14" fillId="0" borderId="0" xfId="0" applyFont="1" applyAlignment="1">
      <alignment horizontal="left"/>
    </xf>
    <xf numFmtId="0" fontId="6" fillId="0" borderId="7" xfId="0" applyFont="1" applyBorder="1"/>
    <xf numFmtId="0" fontId="3" fillId="0" borderId="6" xfId="0" applyFont="1" applyBorder="1"/>
    <xf numFmtId="14" fontId="14" fillId="0" borderId="0" xfId="0" applyNumberFormat="1" applyFont="1"/>
    <xf numFmtId="14" fontId="16" fillId="0" borderId="0" xfId="0" applyNumberFormat="1" applyFont="1" applyAlignment="1">
      <alignment horizontal="right"/>
    </xf>
    <xf numFmtId="0" fontId="3" fillId="0" borderId="7" xfId="0" applyFont="1" applyBorder="1"/>
    <xf numFmtId="14" fontId="14" fillId="0" borderId="7" xfId="0" applyNumberFormat="1" applyFont="1" applyBorder="1"/>
    <xf numFmtId="0" fontId="3" fillId="0" borderId="9" xfId="0" applyFont="1" applyBorder="1"/>
    <xf numFmtId="0" fontId="3" fillId="0" borderId="8" xfId="0" applyFont="1" applyBorder="1"/>
    <xf numFmtId="0" fontId="14" fillId="0" borderId="0" xfId="0" applyFont="1"/>
    <xf numFmtId="0" fontId="3" fillId="0" borderId="13" xfId="0" applyFont="1" applyBorder="1"/>
    <xf numFmtId="0" fontId="2" fillId="0" borderId="7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6" borderId="1" xfId="0" applyFont="1" applyFill="1" applyBorder="1"/>
    <xf numFmtId="0" fontId="19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2" fillId="0" borderId="5" xfId="0" applyFont="1" applyBorder="1"/>
    <xf numFmtId="0" fontId="5" fillId="0" borderId="0" xfId="0" applyFont="1"/>
    <xf numFmtId="0" fontId="0" fillId="0" borderId="0" xfId="0" applyAlignment="1">
      <alignment horizontal="center" vertical="center"/>
    </xf>
    <xf numFmtId="14" fontId="11" fillId="0" borderId="12" xfId="0" applyNumberFormat="1" applyFont="1" applyBorder="1"/>
    <xf numFmtId="14" fontId="0" fillId="0" borderId="0" xfId="0" applyNumberFormat="1"/>
    <xf numFmtId="14" fontId="11" fillId="0" borderId="1" xfId="0" applyNumberFormat="1" applyFont="1" applyBorder="1"/>
    <xf numFmtId="0" fontId="0" fillId="0" borderId="5" xfId="0" applyBorder="1"/>
    <xf numFmtId="0" fontId="0" fillId="0" borderId="13" xfId="0" applyBorder="1"/>
    <xf numFmtId="14" fontId="0" fillId="0" borderId="13" xfId="0" applyNumberFormat="1" applyBorder="1"/>
    <xf numFmtId="14" fontId="11" fillId="0" borderId="5" xfId="0" applyNumberFormat="1" applyFont="1" applyBorder="1"/>
    <xf numFmtId="14" fontId="0" fillId="7" borderId="13" xfId="0" applyNumberFormat="1" applyFill="1" applyBorder="1"/>
    <xf numFmtId="0" fontId="0" fillId="0" borderId="16" xfId="0" applyBorder="1"/>
    <xf numFmtId="14" fontId="11" fillId="0" borderId="16" xfId="0" applyNumberFormat="1" applyFont="1" applyBorder="1"/>
    <xf numFmtId="14" fontId="11" fillId="0" borderId="2" xfId="0" applyNumberFormat="1" applyFont="1" applyBorder="1"/>
    <xf numFmtId="0" fontId="0" fillId="0" borderId="15" xfId="0" applyBorder="1"/>
    <xf numFmtId="0" fontId="0" fillId="7" borderId="13" xfId="0" applyFill="1" applyBorder="1"/>
    <xf numFmtId="2" fontId="0" fillId="0" borderId="0" xfId="0" applyNumberFormat="1" applyAlignment="1">
      <alignment horizontal="center"/>
    </xf>
    <xf numFmtId="0" fontId="0" fillId="0" borderId="14" xfId="0" applyBorder="1"/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609600</xdr:colOff>
      <xdr:row>25</xdr:row>
      <xdr:rowOff>180975</xdr:rowOff>
    </xdr:from>
    <xdr:to>
      <xdr:col>16</xdr:col>
      <xdr:colOff>38100</xdr:colOff>
      <xdr:row>40</xdr:row>
      <xdr:rowOff>66675</xdr:rowOff>
    </xdr:to>
    <xdr:pic>
      <xdr:nvPicPr>
        <xdr:cNvPr id="2" name="">
          <a:extLst>
            <a:ext uri="{FF2B5EF4-FFF2-40B4-BE49-F238E27FC236}">
              <a16:creationId xmlns:a16="http://schemas.microsoft.com/office/drawing/2014/main" id="{BD1CCADF-7F97-D466-73DD-B4D166EEB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3225" y="6200775"/>
          <a:ext cx="6486525" cy="2924175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361950</xdr:colOff>
      <xdr:row>7</xdr:row>
      <xdr:rowOff>114300</xdr:rowOff>
    </xdr:from>
    <xdr:to>
      <xdr:col>17</xdr:col>
      <xdr:colOff>209550</xdr:colOff>
      <xdr:row>13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85BAF2-3C2E-B5BB-0AFF-907C90A68958}"/>
            </a:ext>
            <a:ext uri="{147F2762-F138-4A5C-976F-8EAC2B608ADB}">
              <a16:predDERef xmlns:a16="http://schemas.microsoft.com/office/drawing/2014/main" pred="{BD1CCADF-7F97-D466-73DD-B4D166EEB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5575" y="1981200"/>
          <a:ext cx="766762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0BD5-BE68-41CD-9572-74ED7B68EC48}">
  <dimension ref="A1:F60"/>
  <sheetViews>
    <sheetView tabSelected="1" workbookViewId="0">
      <selection activeCell="F34" sqref="F34"/>
    </sheetView>
  </sheetViews>
  <sheetFormatPr defaultColWidth="11.42578125" defaultRowHeight="15"/>
  <cols>
    <col min="1" max="1" width="31" customWidth="1"/>
    <col min="2" max="2" width="29.7109375" customWidth="1"/>
    <col min="3" max="3" width="21.85546875" customWidth="1"/>
    <col min="4" max="4" width="20.28515625" customWidth="1"/>
    <col min="5" max="5" width="13.5703125" customWidth="1"/>
    <col min="6" max="6" width="36" bestFit="1" customWidth="1"/>
  </cols>
  <sheetData>
    <row r="1" spans="1:6" ht="33" customHeight="1">
      <c r="A1" s="113" t="s">
        <v>0</v>
      </c>
      <c r="B1" s="113"/>
      <c r="C1" s="113"/>
      <c r="D1" s="113"/>
      <c r="E1" s="113"/>
      <c r="F1" s="114"/>
    </row>
    <row r="2" spans="1:6">
      <c r="A2" s="54" t="s">
        <v>1</v>
      </c>
      <c r="B2" s="55" t="s">
        <v>2</v>
      </c>
      <c r="C2" s="55" t="s">
        <v>3</v>
      </c>
      <c r="D2" s="55" t="s">
        <v>4</v>
      </c>
      <c r="E2" s="57" t="s">
        <v>5</v>
      </c>
      <c r="F2" s="80" t="s">
        <v>6</v>
      </c>
    </row>
    <row r="3" spans="1:6">
      <c r="A3" s="68" t="s">
        <v>7</v>
      </c>
      <c r="B3" s="49" t="s">
        <v>8</v>
      </c>
      <c r="C3" s="48" t="s">
        <v>9</v>
      </c>
      <c r="D3" s="71" t="s">
        <v>10</v>
      </c>
      <c r="E3" s="77" t="s">
        <v>10</v>
      </c>
      <c r="F3" s="32" t="s">
        <v>11</v>
      </c>
    </row>
    <row r="4" spans="1:6">
      <c r="A4" s="56" t="s">
        <v>12</v>
      </c>
      <c r="B4" s="49" t="s">
        <v>8</v>
      </c>
      <c r="C4" s="48" t="s">
        <v>9</v>
      </c>
      <c r="D4" s="50">
        <v>46146</v>
      </c>
      <c r="E4" s="58">
        <v>46146</v>
      </c>
      <c r="F4" s="32" t="s">
        <v>13</v>
      </c>
    </row>
    <row r="5" spans="1:6">
      <c r="A5" s="56" t="s">
        <v>14</v>
      </c>
      <c r="B5" s="49" t="s">
        <v>8</v>
      </c>
      <c r="C5" s="48" t="s">
        <v>15</v>
      </c>
      <c r="D5" s="50">
        <v>46139</v>
      </c>
      <c r="E5" s="58">
        <v>46139</v>
      </c>
      <c r="F5" s="32" t="s">
        <v>11</v>
      </c>
    </row>
    <row r="6" spans="1:6">
      <c r="A6" s="56" t="s">
        <v>16</v>
      </c>
      <c r="B6" s="49" t="s">
        <v>8</v>
      </c>
      <c r="C6" s="48" t="s">
        <v>15</v>
      </c>
      <c r="D6" s="50">
        <v>46140</v>
      </c>
      <c r="E6" s="58">
        <v>46140</v>
      </c>
      <c r="F6" s="32" t="s">
        <v>17</v>
      </c>
    </row>
    <row r="7" spans="1:6">
      <c r="A7" s="56" t="s">
        <v>18</v>
      </c>
      <c r="B7" s="49" t="s">
        <v>8</v>
      </c>
      <c r="C7" s="48" t="s">
        <v>19</v>
      </c>
      <c r="D7" s="50">
        <v>46141</v>
      </c>
      <c r="E7" s="53" t="s">
        <v>10</v>
      </c>
      <c r="F7" s="32" t="s">
        <v>20</v>
      </c>
    </row>
    <row r="8" spans="1:6">
      <c r="A8" s="68" t="s">
        <v>21</v>
      </c>
      <c r="B8" s="49" t="s">
        <v>8</v>
      </c>
      <c r="C8" s="48" t="s">
        <v>9</v>
      </c>
      <c r="D8" s="71" t="s">
        <v>10</v>
      </c>
      <c r="E8" s="77" t="s">
        <v>10</v>
      </c>
      <c r="F8" s="32" t="s">
        <v>22</v>
      </c>
    </row>
    <row r="9" spans="1:6">
      <c r="A9" s="93" t="s">
        <v>23</v>
      </c>
      <c r="B9" s="49" t="s">
        <v>8</v>
      </c>
      <c r="C9" s="48" t="s">
        <v>9</v>
      </c>
      <c r="D9" s="71"/>
      <c r="E9" s="77"/>
      <c r="F9" s="32" t="s">
        <v>22</v>
      </c>
    </row>
    <row r="10" spans="1:6">
      <c r="A10" s="56" t="s">
        <v>24</v>
      </c>
      <c r="B10" s="49" t="s">
        <v>8</v>
      </c>
      <c r="C10" s="48" t="s">
        <v>9</v>
      </c>
      <c r="D10" s="51" t="s">
        <v>25</v>
      </c>
      <c r="E10" s="59" t="s">
        <v>25</v>
      </c>
      <c r="F10" s="32" t="s">
        <v>22</v>
      </c>
    </row>
    <row r="11" spans="1:6">
      <c r="A11" s="56" t="s">
        <v>26</v>
      </c>
      <c r="B11" s="49" t="s">
        <v>8</v>
      </c>
      <c r="C11" s="48" t="s">
        <v>9</v>
      </c>
      <c r="D11" s="51" t="s">
        <v>25</v>
      </c>
      <c r="E11" s="59" t="s">
        <v>25</v>
      </c>
      <c r="F11" s="32" t="s">
        <v>22</v>
      </c>
    </row>
    <row r="12" spans="1:6">
      <c r="A12" s="56" t="s">
        <v>27</v>
      </c>
      <c r="B12" s="49" t="s">
        <v>8</v>
      </c>
      <c r="C12" s="48" t="s">
        <v>19</v>
      </c>
      <c r="D12" s="50">
        <v>46141</v>
      </c>
      <c r="E12" s="53" t="s">
        <v>10</v>
      </c>
      <c r="F12" s="32" t="s">
        <v>22</v>
      </c>
    </row>
    <row r="13" spans="1:6">
      <c r="A13" s="56" t="s">
        <v>28</v>
      </c>
      <c r="B13" s="49" t="s">
        <v>8</v>
      </c>
      <c r="C13" s="48" t="s">
        <v>15</v>
      </c>
      <c r="D13" s="50">
        <v>46139</v>
      </c>
      <c r="E13" s="58">
        <v>47965</v>
      </c>
      <c r="F13" s="32" t="s">
        <v>22</v>
      </c>
    </row>
    <row r="14" spans="1:6">
      <c r="A14" s="56" t="s">
        <v>29</v>
      </c>
      <c r="B14" s="49" t="s">
        <v>8</v>
      </c>
      <c r="C14" s="48" t="s">
        <v>15</v>
      </c>
      <c r="D14" s="50">
        <v>46139</v>
      </c>
      <c r="E14" s="58">
        <v>48331</v>
      </c>
      <c r="F14" s="32" t="s">
        <v>22</v>
      </c>
    </row>
    <row r="15" spans="1:6">
      <c r="A15" s="68" t="s">
        <v>30</v>
      </c>
      <c r="B15" s="49" t="s">
        <v>8</v>
      </c>
      <c r="C15" s="48" t="s">
        <v>9</v>
      </c>
      <c r="D15" s="71" t="s">
        <v>10</v>
      </c>
      <c r="E15" s="77" t="s">
        <v>10</v>
      </c>
      <c r="F15" s="32" t="s">
        <v>31</v>
      </c>
    </row>
    <row r="16" spans="1:6">
      <c r="A16" s="68" t="s">
        <v>32</v>
      </c>
      <c r="B16" s="49" t="s">
        <v>8</v>
      </c>
      <c r="C16" s="48" t="s">
        <v>9</v>
      </c>
      <c r="D16" s="71" t="s">
        <v>10</v>
      </c>
      <c r="E16" s="77" t="s">
        <v>10</v>
      </c>
      <c r="F16" s="32" t="s">
        <v>31</v>
      </c>
    </row>
    <row r="17" spans="1:6">
      <c r="A17" s="56" t="s">
        <v>33</v>
      </c>
      <c r="B17" s="49" t="s">
        <v>8</v>
      </c>
      <c r="C17" s="48" t="s">
        <v>9</v>
      </c>
      <c r="D17" s="51" t="s">
        <v>25</v>
      </c>
      <c r="E17" s="59" t="s">
        <v>25</v>
      </c>
      <c r="F17" s="32" t="s">
        <v>34</v>
      </c>
    </row>
    <row r="18" spans="1:6">
      <c r="A18" s="68" t="s">
        <v>35</v>
      </c>
      <c r="B18" s="49" t="s">
        <v>8</v>
      </c>
      <c r="C18" s="48" t="s">
        <v>9</v>
      </c>
      <c r="D18" s="71" t="s">
        <v>10</v>
      </c>
      <c r="E18" s="77" t="s">
        <v>10</v>
      </c>
      <c r="F18" s="32" t="s">
        <v>31</v>
      </c>
    </row>
    <row r="19" spans="1:6">
      <c r="A19" s="56" t="s">
        <v>36</v>
      </c>
      <c r="B19" s="49" t="s">
        <v>8</v>
      </c>
      <c r="C19" s="48" t="s">
        <v>15</v>
      </c>
      <c r="D19" s="50">
        <v>46139</v>
      </c>
      <c r="E19" s="58">
        <v>48696</v>
      </c>
      <c r="F19" s="32" t="s">
        <v>37</v>
      </c>
    </row>
    <row r="20" spans="1:6">
      <c r="A20" s="56" t="s">
        <v>38</v>
      </c>
      <c r="B20" s="49" t="s">
        <v>8</v>
      </c>
      <c r="C20" s="48" t="s">
        <v>19</v>
      </c>
      <c r="D20" s="50">
        <v>46141</v>
      </c>
      <c r="E20" s="53" t="s">
        <v>10</v>
      </c>
      <c r="F20" s="32" t="s">
        <v>39</v>
      </c>
    </row>
    <row r="21" spans="1:6">
      <c r="A21" s="68" t="s">
        <v>40</v>
      </c>
      <c r="B21" s="49" t="s">
        <v>8</v>
      </c>
      <c r="C21" s="48" t="s">
        <v>9</v>
      </c>
      <c r="D21" s="71" t="s">
        <v>10</v>
      </c>
      <c r="E21" s="77" t="s">
        <v>10</v>
      </c>
      <c r="F21" s="32" t="s">
        <v>41</v>
      </c>
    </row>
    <row r="22" spans="1:6">
      <c r="A22" s="56" t="s">
        <v>42</v>
      </c>
      <c r="B22" s="49" t="s">
        <v>8</v>
      </c>
      <c r="C22" s="48" t="s">
        <v>9</v>
      </c>
      <c r="D22" s="50">
        <v>46146</v>
      </c>
      <c r="E22" s="58">
        <v>46146</v>
      </c>
      <c r="F22" s="32" t="s">
        <v>13</v>
      </c>
    </row>
    <row r="23" spans="1:6">
      <c r="A23" s="56" t="s">
        <v>43</v>
      </c>
      <c r="B23" s="49" t="s">
        <v>8</v>
      </c>
      <c r="C23" s="48" t="s">
        <v>9</v>
      </c>
      <c r="D23" s="50">
        <v>46146</v>
      </c>
      <c r="E23" s="58">
        <v>46146</v>
      </c>
      <c r="F23" s="32" t="s">
        <v>13</v>
      </c>
    </row>
    <row r="24" spans="1:6">
      <c r="A24" s="56" t="s">
        <v>44</v>
      </c>
      <c r="B24" s="49" t="s">
        <v>8</v>
      </c>
      <c r="C24" s="48" t="s">
        <v>15</v>
      </c>
      <c r="D24" s="50">
        <v>46139</v>
      </c>
      <c r="E24" s="58">
        <v>49426</v>
      </c>
      <c r="F24" s="32" t="s">
        <v>13</v>
      </c>
    </row>
    <row r="25" spans="1:6">
      <c r="A25" s="68" t="s">
        <v>45</v>
      </c>
      <c r="B25" s="49" t="s">
        <v>8</v>
      </c>
      <c r="C25" s="48" t="s">
        <v>9</v>
      </c>
      <c r="D25" s="76" t="s">
        <v>10</v>
      </c>
      <c r="E25" s="64" t="s">
        <v>10</v>
      </c>
      <c r="F25" s="32" t="s">
        <v>46</v>
      </c>
    </row>
    <row r="26" spans="1:6">
      <c r="A26" s="68" t="s">
        <v>47</v>
      </c>
      <c r="B26" s="49" t="s">
        <v>8</v>
      </c>
      <c r="C26" s="53" t="s">
        <v>9</v>
      </c>
      <c r="D26" s="74" t="s">
        <v>10</v>
      </c>
      <c r="E26" s="79" t="s">
        <v>10</v>
      </c>
      <c r="F26" s="32" t="s">
        <v>48</v>
      </c>
    </row>
    <row r="27" spans="1:6">
      <c r="A27" s="68" t="s">
        <v>49</v>
      </c>
      <c r="B27" s="49" t="s">
        <v>8</v>
      </c>
      <c r="C27" s="48" t="s">
        <v>9</v>
      </c>
      <c r="D27" s="71" t="s">
        <v>10</v>
      </c>
      <c r="E27" s="77" t="s">
        <v>10</v>
      </c>
      <c r="F27" s="32" t="s">
        <v>48</v>
      </c>
    </row>
    <row r="28" spans="1:6">
      <c r="A28" s="68" t="s">
        <v>50</v>
      </c>
      <c r="B28" s="49" t="s">
        <v>8</v>
      </c>
      <c r="C28" s="48" t="s">
        <v>9</v>
      </c>
      <c r="D28" s="71" t="s">
        <v>10</v>
      </c>
      <c r="E28" s="77" t="s">
        <v>10</v>
      </c>
      <c r="F28" s="32" t="s">
        <v>48</v>
      </c>
    </row>
    <row r="29" spans="1:6">
      <c r="A29" s="68" t="s">
        <v>51</v>
      </c>
      <c r="B29" s="49" t="s">
        <v>8</v>
      </c>
      <c r="C29" s="48" t="s">
        <v>9</v>
      </c>
      <c r="D29" s="71" t="s">
        <v>10</v>
      </c>
      <c r="E29" s="77" t="s">
        <v>10</v>
      </c>
      <c r="F29" s="32" t="s">
        <v>11</v>
      </c>
    </row>
    <row r="30" spans="1:6">
      <c r="A30" s="61" t="s">
        <v>52</v>
      </c>
      <c r="B30" s="62" t="s">
        <v>8</v>
      </c>
      <c r="C30" s="63" t="s">
        <v>9</v>
      </c>
      <c r="D30" s="52" t="s">
        <v>25</v>
      </c>
      <c r="E30" s="60" t="s">
        <v>25</v>
      </c>
      <c r="F30" s="32" t="s">
        <v>11</v>
      </c>
    </row>
    <row r="31" spans="1:6">
      <c r="A31" s="65" t="s">
        <v>53</v>
      </c>
      <c r="B31" s="66" t="s">
        <v>8</v>
      </c>
      <c r="C31" s="67" t="s">
        <v>19</v>
      </c>
      <c r="D31" s="75">
        <v>46141</v>
      </c>
      <c r="E31" s="67" t="s">
        <v>10</v>
      </c>
      <c r="F31" s="32" t="s">
        <v>11</v>
      </c>
    </row>
    <row r="32" spans="1:6">
      <c r="A32" s="70" t="s">
        <v>54</v>
      </c>
      <c r="B32" s="66" t="s">
        <v>8</v>
      </c>
      <c r="C32" s="67" t="s">
        <v>9</v>
      </c>
      <c r="D32" s="74" t="s">
        <v>10</v>
      </c>
      <c r="E32" s="74" t="s">
        <v>10</v>
      </c>
      <c r="F32" t="s">
        <v>55</v>
      </c>
    </row>
    <row r="33" spans="1:6">
      <c r="A33" s="8" t="s">
        <v>56</v>
      </c>
      <c r="B33" s="66" t="s">
        <v>8</v>
      </c>
      <c r="C33" s="67" t="s">
        <v>9</v>
      </c>
      <c r="D33" s="64" t="s">
        <v>10</v>
      </c>
      <c r="E33" s="64" t="s">
        <v>10</v>
      </c>
      <c r="F33" t="s">
        <v>55</v>
      </c>
    </row>
    <row r="34" spans="1:6">
      <c r="A34" s="8" t="s">
        <v>57</v>
      </c>
      <c r="B34" s="66" t="s">
        <v>8</v>
      </c>
      <c r="C34" s="67" t="s">
        <v>9</v>
      </c>
      <c r="D34" s="64" t="s">
        <v>10</v>
      </c>
      <c r="E34" s="64" t="s">
        <v>10</v>
      </c>
      <c r="F34" t="s">
        <v>58</v>
      </c>
    </row>
    <row r="35" spans="1:6">
      <c r="A35" s="8" t="s">
        <v>59</v>
      </c>
      <c r="B35" s="66" t="s">
        <v>8</v>
      </c>
      <c r="C35" s="67" t="s">
        <v>9</v>
      </c>
      <c r="D35" s="64" t="s">
        <v>10</v>
      </c>
      <c r="E35" s="64" t="s">
        <v>10</v>
      </c>
      <c r="F35" t="s">
        <v>58</v>
      </c>
    </row>
    <row r="36" spans="1:6">
      <c r="A36" s="8" t="s">
        <v>60</v>
      </c>
      <c r="B36" s="66" t="s">
        <v>8</v>
      </c>
      <c r="C36" s="67" t="s">
        <v>9</v>
      </c>
    </row>
    <row r="37" spans="1:6">
      <c r="A37" s="8" t="s">
        <v>61</v>
      </c>
      <c r="B37" s="66" t="s">
        <v>8</v>
      </c>
      <c r="C37" s="67" t="s">
        <v>9</v>
      </c>
      <c r="D37" s="64" t="s">
        <v>10</v>
      </c>
      <c r="E37" s="64" t="s">
        <v>10</v>
      </c>
    </row>
    <row r="38" spans="1:6">
      <c r="A38" s="69" t="s">
        <v>62</v>
      </c>
      <c r="B38" s="66" t="s">
        <v>8</v>
      </c>
      <c r="C38" s="67" t="s">
        <v>9</v>
      </c>
      <c r="D38" s="60" t="s">
        <v>25</v>
      </c>
      <c r="E38" s="60" t="s">
        <v>25</v>
      </c>
    </row>
    <row r="39" spans="1:6">
      <c r="A39" s="69" t="s">
        <v>63</v>
      </c>
      <c r="B39" s="66" t="s">
        <v>8</v>
      </c>
      <c r="C39" s="67" t="s">
        <v>19</v>
      </c>
      <c r="D39" s="72">
        <v>46141</v>
      </c>
      <c r="E39" s="78" t="s">
        <v>10</v>
      </c>
    </row>
    <row r="40" spans="1:6">
      <c r="A40" s="8" t="s">
        <v>64</v>
      </c>
      <c r="B40" s="66" t="s">
        <v>8</v>
      </c>
      <c r="C40" s="67" t="s">
        <v>9</v>
      </c>
      <c r="D40" s="64" t="s">
        <v>10</v>
      </c>
      <c r="E40" s="64" t="s">
        <v>10</v>
      </c>
      <c r="F40" s="32" t="s">
        <v>11</v>
      </c>
    </row>
    <row r="41" spans="1:6" ht="14.25" customHeight="1">
      <c r="A41" s="69" t="s">
        <v>65</v>
      </c>
      <c r="B41" s="66" t="s">
        <v>8</v>
      </c>
      <c r="C41" s="67" t="s">
        <v>9</v>
      </c>
      <c r="D41" s="60" t="s">
        <v>25</v>
      </c>
      <c r="E41" s="60" t="s">
        <v>25</v>
      </c>
      <c r="F41" t="s">
        <v>55</v>
      </c>
    </row>
    <row r="42" spans="1:6">
      <c r="A42" s="69" t="s">
        <v>66</v>
      </c>
      <c r="B42" s="66" t="s">
        <v>8</v>
      </c>
      <c r="C42" s="67" t="s">
        <v>19</v>
      </c>
      <c r="D42" s="72">
        <v>46141</v>
      </c>
      <c r="E42" s="78" t="s">
        <v>10</v>
      </c>
    </row>
    <row r="43" spans="1:6">
      <c r="A43" s="8" t="s">
        <v>67</v>
      </c>
      <c r="B43" s="66" t="s">
        <v>8</v>
      </c>
      <c r="C43" s="67" t="s">
        <v>9</v>
      </c>
    </row>
    <row r="44" spans="1:6">
      <c r="A44" s="69" t="s">
        <v>68</v>
      </c>
      <c r="B44" s="66" t="s">
        <v>8</v>
      </c>
      <c r="C44" s="67" t="s">
        <v>9</v>
      </c>
      <c r="D44" s="73">
        <v>46146</v>
      </c>
      <c r="E44" s="73">
        <v>46147</v>
      </c>
      <c r="F44" t="s">
        <v>68</v>
      </c>
    </row>
    <row r="45" spans="1:6">
      <c r="A45" s="8" t="s">
        <v>69</v>
      </c>
      <c r="B45" s="66" t="s">
        <v>8</v>
      </c>
      <c r="C45" s="67" t="s">
        <v>9</v>
      </c>
      <c r="D45" s="64" t="s">
        <v>10</v>
      </c>
      <c r="E45" s="64" t="s">
        <v>10</v>
      </c>
      <c r="F45" t="s">
        <v>70</v>
      </c>
    </row>
    <row r="46" spans="1:6">
      <c r="A46" s="69" t="s">
        <v>71</v>
      </c>
      <c r="B46" s="66" t="s">
        <v>8</v>
      </c>
      <c r="C46" s="67" t="s">
        <v>9</v>
      </c>
      <c r="D46" s="60" t="s">
        <v>25</v>
      </c>
      <c r="E46" s="60" t="s">
        <v>25</v>
      </c>
      <c r="F46" t="s">
        <v>70</v>
      </c>
    </row>
    <row r="47" spans="1:6">
      <c r="A47" s="69" t="s">
        <v>72</v>
      </c>
      <c r="B47" s="66" t="s">
        <v>8</v>
      </c>
      <c r="C47" s="67" t="s">
        <v>9</v>
      </c>
      <c r="D47" s="60" t="s">
        <v>73</v>
      </c>
      <c r="E47" s="60" t="s">
        <v>73</v>
      </c>
      <c r="F47" t="s">
        <v>70</v>
      </c>
    </row>
    <row r="48" spans="1:6">
      <c r="A48" s="8" t="s">
        <v>74</v>
      </c>
      <c r="B48" s="66" t="s">
        <v>8</v>
      </c>
      <c r="C48" s="67" t="s">
        <v>9</v>
      </c>
      <c r="D48" s="64" t="s">
        <v>10</v>
      </c>
      <c r="E48" s="64" t="s">
        <v>10</v>
      </c>
    </row>
    <row r="49" spans="1:6">
      <c r="A49" s="8" t="s">
        <v>75</v>
      </c>
      <c r="B49" s="66" t="s">
        <v>8</v>
      </c>
      <c r="C49" s="67" t="s">
        <v>9</v>
      </c>
      <c r="D49" s="64" t="s">
        <v>10</v>
      </c>
      <c r="E49" s="64" t="s">
        <v>10</v>
      </c>
    </row>
    <row r="50" spans="1:6">
      <c r="A50" s="8" t="s">
        <v>76</v>
      </c>
      <c r="B50" s="66" t="s">
        <v>8</v>
      </c>
      <c r="C50" s="67" t="s">
        <v>9</v>
      </c>
      <c r="D50" s="64" t="s">
        <v>10</v>
      </c>
      <c r="E50" s="64" t="s">
        <v>10</v>
      </c>
    </row>
    <row r="51" spans="1:6">
      <c r="A51" s="69" t="s">
        <v>77</v>
      </c>
      <c r="B51" s="66" t="s">
        <v>8</v>
      </c>
      <c r="C51" s="67" t="s">
        <v>9</v>
      </c>
      <c r="D51" s="60" t="s">
        <v>73</v>
      </c>
      <c r="E51" s="60" t="s">
        <v>73</v>
      </c>
    </row>
    <row r="52" spans="1:6">
      <c r="A52" s="69" t="s">
        <v>78</v>
      </c>
      <c r="B52" s="66" t="s">
        <v>8</v>
      </c>
      <c r="C52" s="67" t="s">
        <v>19</v>
      </c>
      <c r="D52" s="72">
        <v>46140</v>
      </c>
      <c r="E52" s="72">
        <v>46140</v>
      </c>
    </row>
    <row r="53" spans="1:6">
      <c r="A53" s="69" t="s">
        <v>79</v>
      </c>
      <c r="B53" s="66" t="s">
        <v>8</v>
      </c>
      <c r="C53" s="67" t="s">
        <v>9</v>
      </c>
      <c r="D53" s="60" t="s">
        <v>73</v>
      </c>
      <c r="E53" s="60" t="s">
        <v>73</v>
      </c>
    </row>
    <row r="54" spans="1:6">
      <c r="A54" s="69" t="s">
        <v>80</v>
      </c>
      <c r="B54" s="66" t="s">
        <v>8</v>
      </c>
      <c r="C54" s="67" t="s">
        <v>9</v>
      </c>
      <c r="D54" s="60" t="s">
        <v>73</v>
      </c>
      <c r="E54" s="60" t="s">
        <v>73</v>
      </c>
    </row>
    <row r="55" spans="1:6">
      <c r="A55" s="8" t="s">
        <v>81</v>
      </c>
      <c r="B55" s="66" t="s">
        <v>8</v>
      </c>
      <c r="C55" s="67" t="s">
        <v>9</v>
      </c>
      <c r="D55" s="64" t="s">
        <v>10</v>
      </c>
      <c r="E55" s="64" t="s">
        <v>10</v>
      </c>
    </row>
    <row r="56" spans="1:6">
      <c r="A56" s="8" t="s">
        <v>82</v>
      </c>
      <c r="B56" s="66" t="s">
        <v>8</v>
      </c>
      <c r="C56" s="67" t="s">
        <v>9</v>
      </c>
      <c r="D56" s="64" t="s">
        <v>10</v>
      </c>
      <c r="E56" s="64" t="s">
        <v>10</v>
      </c>
    </row>
    <row r="57" spans="1:6">
      <c r="A57" s="69" t="s">
        <v>83</v>
      </c>
      <c r="B57" s="66" t="s">
        <v>8</v>
      </c>
      <c r="C57" s="67" t="s">
        <v>9</v>
      </c>
      <c r="D57" s="60" t="s">
        <v>73</v>
      </c>
      <c r="E57" s="60" t="s">
        <v>73</v>
      </c>
      <c r="F57" s="32" t="s">
        <v>17</v>
      </c>
    </row>
    <row r="58" spans="1:6">
      <c r="A58" s="8" t="s">
        <v>84</v>
      </c>
      <c r="B58" s="66" t="s">
        <v>8</v>
      </c>
      <c r="C58" s="67" t="s">
        <v>9</v>
      </c>
      <c r="D58" s="64" t="s">
        <v>10</v>
      </c>
      <c r="E58" s="64" t="s">
        <v>10</v>
      </c>
    </row>
    <row r="59" spans="1:6">
      <c r="A59" s="8" t="s">
        <v>85</v>
      </c>
      <c r="B59" s="66" t="s">
        <v>8</v>
      </c>
      <c r="C59" s="67" t="s">
        <v>9</v>
      </c>
      <c r="D59" s="64" t="s">
        <v>10</v>
      </c>
      <c r="E59" s="64" t="s">
        <v>10</v>
      </c>
    </row>
    <row r="60" spans="1:6">
      <c r="A60" s="8" t="s">
        <v>86</v>
      </c>
      <c r="B60" s="66" t="s">
        <v>8</v>
      </c>
      <c r="C60" s="67" t="s">
        <v>9</v>
      </c>
      <c r="D60" s="64" t="s">
        <v>10</v>
      </c>
      <c r="E60" s="64" t="s">
        <v>10</v>
      </c>
      <c r="F60" t="s">
        <v>86</v>
      </c>
    </row>
  </sheetData>
  <sortState xmlns:xlrd2="http://schemas.microsoft.com/office/spreadsheetml/2017/richdata2" ref="A3:F60">
    <sortCondition ref="A3:A60"/>
  </sortState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9634-AD52-4DDD-9A3D-B424B261A69D}">
  <dimension ref="A1:G56"/>
  <sheetViews>
    <sheetView workbookViewId="0">
      <selection activeCell="G6" sqref="G6"/>
    </sheetView>
  </sheetViews>
  <sheetFormatPr defaultColWidth="11.42578125" defaultRowHeight="15"/>
  <cols>
    <col min="1" max="1" width="46.28515625" bestFit="1" customWidth="1"/>
    <col min="2" max="2" width="29.7109375" customWidth="1"/>
    <col min="3" max="3" width="36.28515625" customWidth="1"/>
    <col min="4" max="4" width="20.28515625" customWidth="1"/>
    <col min="5" max="5" width="13.5703125" customWidth="1"/>
    <col min="7" max="7" width="48.28515625" style="85" customWidth="1"/>
  </cols>
  <sheetData>
    <row r="1" spans="1:7" ht="56.25" customHeight="1">
      <c r="A1" s="115" t="s">
        <v>87</v>
      </c>
      <c r="B1" s="115"/>
      <c r="C1" s="115"/>
      <c r="D1" s="115"/>
      <c r="E1" s="115"/>
      <c r="F1" s="39"/>
      <c r="G1" s="39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88</v>
      </c>
      <c r="G2" s="3" t="s">
        <v>89</v>
      </c>
    </row>
    <row r="3" spans="1:7">
      <c r="A3" t="s">
        <v>90</v>
      </c>
      <c r="B3" s="40" t="s">
        <v>91</v>
      </c>
      <c r="C3" s="1" t="s">
        <v>92</v>
      </c>
      <c r="D3" s="20">
        <v>46239</v>
      </c>
      <c r="E3" s="20">
        <v>46331</v>
      </c>
      <c r="F3" s="1">
        <v>2.1</v>
      </c>
      <c r="G3" s="83" t="s">
        <v>93</v>
      </c>
    </row>
    <row r="4" spans="1:7">
      <c r="A4" t="s">
        <v>94</v>
      </c>
      <c r="B4" s="40" t="s">
        <v>91</v>
      </c>
      <c r="C4" s="1" t="s">
        <v>92</v>
      </c>
      <c r="D4" s="20">
        <v>46239</v>
      </c>
      <c r="E4" s="20">
        <v>46331</v>
      </c>
      <c r="F4" s="1"/>
      <c r="G4" s="91" t="s">
        <v>95</v>
      </c>
    </row>
    <row r="5" spans="1:7">
      <c r="A5" t="s">
        <v>96</v>
      </c>
      <c r="B5" s="37" t="s">
        <v>97</v>
      </c>
      <c r="C5" s="1"/>
      <c r="D5" s="20">
        <v>46239</v>
      </c>
      <c r="E5" s="20">
        <v>46331</v>
      </c>
      <c r="F5" s="1"/>
      <c r="G5" s="86" t="s">
        <v>96</v>
      </c>
    </row>
    <row r="6" spans="1:7">
      <c r="A6" t="s">
        <v>98</v>
      </c>
      <c r="B6" s="37" t="s">
        <v>97</v>
      </c>
      <c r="C6" s="1"/>
      <c r="D6" s="20">
        <v>46239</v>
      </c>
      <c r="E6" s="1"/>
      <c r="F6" s="1"/>
      <c r="G6" s="86" t="s">
        <v>98</v>
      </c>
    </row>
    <row r="7" spans="1:7">
      <c r="A7" t="s">
        <v>99</v>
      </c>
      <c r="B7" s="40" t="s">
        <v>91</v>
      </c>
      <c r="C7" s="1" t="s">
        <v>92</v>
      </c>
      <c r="D7" s="20">
        <v>46239</v>
      </c>
      <c r="E7" s="20">
        <v>46331</v>
      </c>
      <c r="F7" s="1">
        <v>3.84</v>
      </c>
      <c r="G7" s="82" t="s">
        <v>100</v>
      </c>
    </row>
    <row r="8" spans="1:7">
      <c r="A8" t="s">
        <v>101</v>
      </c>
      <c r="B8" s="40" t="s">
        <v>91</v>
      </c>
      <c r="C8" s="1" t="s">
        <v>92</v>
      </c>
      <c r="D8" s="20">
        <v>46239</v>
      </c>
      <c r="E8" s="20">
        <v>46331</v>
      </c>
      <c r="F8" s="1">
        <v>8.8999999999999996E-2</v>
      </c>
      <c r="G8" s="82" t="s">
        <v>101</v>
      </c>
    </row>
    <row r="9" spans="1:7">
      <c r="A9" t="s">
        <v>102</v>
      </c>
      <c r="B9" s="40" t="s">
        <v>91</v>
      </c>
      <c r="C9" s="1" t="s">
        <v>92</v>
      </c>
      <c r="D9" s="20">
        <v>46239</v>
      </c>
      <c r="E9" s="20">
        <v>46331</v>
      </c>
      <c r="F9" s="1">
        <v>0.18</v>
      </c>
      <c r="G9" s="82" t="s">
        <v>103</v>
      </c>
    </row>
    <row r="10" spans="1:7">
      <c r="A10" t="s">
        <v>104</v>
      </c>
      <c r="B10" s="40" t="s">
        <v>91</v>
      </c>
      <c r="C10" s="1" t="s">
        <v>92</v>
      </c>
      <c r="D10" s="20">
        <v>46239</v>
      </c>
      <c r="E10" s="20">
        <v>46331</v>
      </c>
      <c r="F10" s="1">
        <v>7.58</v>
      </c>
      <c r="G10" s="82" t="s">
        <v>105</v>
      </c>
    </row>
    <row r="11" spans="1:7">
      <c r="A11" t="s">
        <v>106</v>
      </c>
      <c r="B11" s="40" t="s">
        <v>91</v>
      </c>
      <c r="C11" s="1" t="s">
        <v>92</v>
      </c>
      <c r="D11" s="20">
        <v>46239</v>
      </c>
      <c r="E11" s="20">
        <v>46361</v>
      </c>
      <c r="F11" s="1">
        <v>0.85599999999999998</v>
      </c>
      <c r="G11" s="84" t="s">
        <v>107</v>
      </c>
    </row>
    <row r="12" spans="1:7">
      <c r="A12" t="s">
        <v>108</v>
      </c>
      <c r="B12" s="40" t="s">
        <v>91</v>
      </c>
      <c r="C12" s="1" t="s">
        <v>92</v>
      </c>
      <c r="D12" s="20">
        <v>46239</v>
      </c>
      <c r="E12" s="20">
        <v>46361</v>
      </c>
      <c r="F12" s="1">
        <v>0.7</v>
      </c>
      <c r="G12" s="82" t="s">
        <v>109</v>
      </c>
    </row>
    <row r="13" spans="1:7" s="5" customFormat="1">
      <c r="A13" s="94" t="s">
        <v>110</v>
      </c>
      <c r="B13" s="88" t="s">
        <v>91</v>
      </c>
      <c r="C13" s="87"/>
      <c r="D13" s="87"/>
      <c r="E13" s="87"/>
      <c r="F13" s="92">
        <v>0.61299999999999999</v>
      </c>
      <c r="G13" s="91" t="s">
        <v>111</v>
      </c>
    </row>
    <row r="14" spans="1:7">
      <c r="A14" t="s">
        <v>112</v>
      </c>
      <c r="B14" s="37" t="s">
        <v>97</v>
      </c>
      <c r="C14" s="1" t="s">
        <v>92</v>
      </c>
      <c r="D14" s="1"/>
      <c r="E14" s="1"/>
      <c r="F14" s="1"/>
      <c r="G14" s="91" t="s">
        <v>113</v>
      </c>
    </row>
    <row r="15" spans="1:7">
      <c r="A15" t="s">
        <v>114</v>
      </c>
      <c r="B15" s="40" t="s">
        <v>91</v>
      </c>
      <c r="C15" s="1" t="s">
        <v>92</v>
      </c>
      <c r="D15" s="20">
        <v>46239</v>
      </c>
      <c r="E15" s="20">
        <v>46361</v>
      </c>
      <c r="F15" s="1">
        <v>6.7000000000000004E-2</v>
      </c>
      <c r="G15" s="82" t="s">
        <v>115</v>
      </c>
    </row>
    <row r="16" spans="1:7">
      <c r="A16" t="s">
        <v>116</v>
      </c>
      <c r="B16" s="40" t="s">
        <v>91</v>
      </c>
      <c r="C16" s="1" t="s">
        <v>92</v>
      </c>
      <c r="D16" s="20">
        <v>46239</v>
      </c>
      <c r="E16" s="20">
        <v>46361</v>
      </c>
      <c r="F16" s="1">
        <v>0.40400000000000003</v>
      </c>
      <c r="G16" s="82" t="s">
        <v>116</v>
      </c>
    </row>
    <row r="17" spans="1:7">
      <c r="A17" t="s">
        <v>117</v>
      </c>
      <c r="B17" s="40" t="s">
        <v>91</v>
      </c>
      <c r="C17" s="1" t="s">
        <v>92</v>
      </c>
      <c r="D17" s="20">
        <v>46239</v>
      </c>
      <c r="E17" s="20">
        <v>46361</v>
      </c>
      <c r="F17" s="1">
        <v>0.32700000000000001</v>
      </c>
      <c r="G17" s="82" t="s">
        <v>118</v>
      </c>
    </row>
    <row r="18" spans="1:7">
      <c r="A18" t="s">
        <v>119</v>
      </c>
      <c r="B18" s="40" t="s">
        <v>91</v>
      </c>
      <c r="C18" s="1" t="s">
        <v>92</v>
      </c>
      <c r="D18" s="20">
        <v>46239</v>
      </c>
      <c r="E18" s="20">
        <v>46361</v>
      </c>
      <c r="F18" s="1">
        <v>6.22</v>
      </c>
      <c r="G18" s="82" t="s">
        <v>120</v>
      </c>
    </row>
    <row r="19" spans="1:7">
      <c r="A19" t="s">
        <v>121</v>
      </c>
      <c r="B19" s="40" t="s">
        <v>91</v>
      </c>
      <c r="C19" s="1" t="s">
        <v>92</v>
      </c>
      <c r="D19" s="20">
        <v>46239</v>
      </c>
      <c r="E19" s="20">
        <v>46361</v>
      </c>
      <c r="F19" s="1">
        <v>0.30399999999999999</v>
      </c>
      <c r="G19" s="85" t="s">
        <v>122</v>
      </c>
    </row>
    <row r="20" spans="1:7">
      <c r="A20" t="s">
        <v>123</v>
      </c>
      <c r="B20" s="1" t="s">
        <v>124</v>
      </c>
      <c r="C20" s="1"/>
      <c r="D20" s="1"/>
      <c r="E20" s="1"/>
      <c r="F20" s="1"/>
      <c r="G20" s="86" t="s">
        <v>123</v>
      </c>
    </row>
    <row r="21" spans="1:7">
      <c r="A21" t="s">
        <v>125</v>
      </c>
      <c r="B21" s="1" t="s">
        <v>124</v>
      </c>
      <c r="C21" s="1"/>
      <c r="D21" s="1"/>
      <c r="E21" s="1"/>
      <c r="F21" s="1"/>
      <c r="G21" s="86" t="s">
        <v>125</v>
      </c>
    </row>
    <row r="22" spans="1:7">
      <c r="A22" t="s">
        <v>126</v>
      </c>
      <c r="B22" s="40" t="s">
        <v>91</v>
      </c>
      <c r="C22" s="1"/>
      <c r="D22" s="1"/>
      <c r="E22" s="1"/>
      <c r="F22" s="1">
        <v>0.123</v>
      </c>
      <c r="G22" s="91" t="s">
        <v>127</v>
      </c>
    </row>
    <row r="23" spans="1:7">
      <c r="A23" t="s">
        <v>128</v>
      </c>
      <c r="B23" s="40" t="s">
        <v>91</v>
      </c>
      <c r="C23" s="1" t="s">
        <v>92</v>
      </c>
      <c r="D23" s="20">
        <v>46239</v>
      </c>
      <c r="E23" s="20">
        <v>46361</v>
      </c>
      <c r="F23" s="1">
        <v>1.3</v>
      </c>
      <c r="G23" s="82" t="s">
        <v>129</v>
      </c>
    </row>
    <row r="24" spans="1:7">
      <c r="A24" t="s">
        <v>130</v>
      </c>
      <c r="B24" s="40" t="s">
        <v>91</v>
      </c>
      <c r="C24" s="1"/>
      <c r="D24" s="1"/>
      <c r="E24" s="1"/>
      <c r="F24" s="1">
        <v>0.54100000000000004</v>
      </c>
      <c r="G24" s="91" t="s">
        <v>131</v>
      </c>
    </row>
    <row r="25" spans="1:7">
      <c r="A25" t="s">
        <v>132</v>
      </c>
      <c r="B25" s="40" t="s">
        <v>91</v>
      </c>
      <c r="C25" s="1"/>
      <c r="D25" s="20">
        <v>46239</v>
      </c>
      <c r="E25" s="1"/>
      <c r="F25" s="1"/>
      <c r="G25" s="86" t="s">
        <v>132</v>
      </c>
    </row>
    <row r="26" spans="1:7">
      <c r="A26" t="s">
        <v>133</v>
      </c>
      <c r="B26" s="40" t="s">
        <v>91</v>
      </c>
      <c r="C26" s="1" t="s">
        <v>92</v>
      </c>
      <c r="D26" s="20">
        <v>46239</v>
      </c>
      <c r="E26" s="20">
        <v>46361</v>
      </c>
      <c r="F26" s="1">
        <v>9.16</v>
      </c>
      <c r="G26" s="82" t="s">
        <v>133</v>
      </c>
    </row>
    <row r="27" spans="1:7">
      <c r="A27" t="s">
        <v>134</v>
      </c>
      <c r="B27" s="40" t="s">
        <v>91</v>
      </c>
      <c r="C27" s="1" t="s">
        <v>92</v>
      </c>
      <c r="D27" s="20">
        <v>46239</v>
      </c>
      <c r="E27" s="20">
        <v>46361</v>
      </c>
      <c r="F27" s="1">
        <v>0.70499999999999996</v>
      </c>
      <c r="G27" s="82" t="s">
        <v>134</v>
      </c>
    </row>
    <row r="28" spans="1:7">
      <c r="A28" t="s">
        <v>135</v>
      </c>
      <c r="B28" s="40" t="s">
        <v>91</v>
      </c>
      <c r="C28" s="1" t="s">
        <v>92</v>
      </c>
      <c r="D28" s="20">
        <v>46239</v>
      </c>
      <c r="E28" s="20">
        <v>46361</v>
      </c>
      <c r="F28" s="1">
        <v>1E-3</v>
      </c>
      <c r="G28" s="82" t="s">
        <v>135</v>
      </c>
    </row>
    <row r="29" spans="1:7">
      <c r="A29" t="s">
        <v>136</v>
      </c>
      <c r="B29" s="37" t="s">
        <v>97</v>
      </c>
      <c r="C29" s="1"/>
      <c r="D29" s="1"/>
      <c r="E29" s="1"/>
      <c r="F29" s="1">
        <v>0.89900000000000002</v>
      </c>
      <c r="G29" s="91" t="s">
        <v>136</v>
      </c>
    </row>
    <row r="30" spans="1:7">
      <c r="A30" t="s">
        <v>137</v>
      </c>
      <c r="B30" s="40" t="s">
        <v>91</v>
      </c>
      <c r="C30" s="1" t="s">
        <v>92</v>
      </c>
      <c r="D30" s="20">
        <v>46239</v>
      </c>
      <c r="E30" s="20">
        <v>46361</v>
      </c>
      <c r="F30" s="1">
        <v>1.05</v>
      </c>
      <c r="G30" s="82" t="s">
        <v>137</v>
      </c>
    </row>
    <row r="31" spans="1:7">
      <c r="A31" t="s">
        <v>138</v>
      </c>
      <c r="B31" s="40" t="s">
        <v>91</v>
      </c>
      <c r="C31" s="1"/>
      <c r="D31" s="1"/>
      <c r="E31" s="1"/>
      <c r="F31" s="1">
        <v>5.3999999999999999E-2</v>
      </c>
      <c r="G31" s="91" t="s">
        <v>138</v>
      </c>
    </row>
    <row r="32" spans="1:7">
      <c r="A32" t="s">
        <v>139</v>
      </c>
      <c r="B32" s="40" t="s">
        <v>91</v>
      </c>
      <c r="C32" s="1" t="s">
        <v>92</v>
      </c>
      <c r="D32" s="20">
        <v>46239</v>
      </c>
      <c r="E32" s="1" t="s">
        <v>140</v>
      </c>
      <c r="F32" s="1">
        <v>1.04</v>
      </c>
      <c r="G32" s="82" t="s">
        <v>139</v>
      </c>
    </row>
    <row r="33" spans="1:7">
      <c r="A33" t="s">
        <v>141</v>
      </c>
      <c r="B33" s="40" t="s">
        <v>91</v>
      </c>
      <c r="C33" s="1" t="s">
        <v>92</v>
      </c>
      <c r="D33" s="20">
        <v>46239</v>
      </c>
      <c r="E33" s="1" t="s">
        <v>140</v>
      </c>
      <c r="F33" s="1">
        <v>18.2</v>
      </c>
      <c r="G33" s="91" t="s">
        <v>142</v>
      </c>
    </row>
    <row r="34" spans="1:7">
      <c r="A34" t="s">
        <v>143</v>
      </c>
      <c r="B34" s="40" t="s">
        <v>91</v>
      </c>
      <c r="C34" s="1" t="s">
        <v>92</v>
      </c>
      <c r="D34" s="20">
        <v>46239</v>
      </c>
      <c r="E34" s="1" t="s">
        <v>140</v>
      </c>
      <c r="F34" s="1">
        <v>1.5</v>
      </c>
      <c r="G34" s="82" t="s">
        <v>143</v>
      </c>
    </row>
    <row r="35" spans="1:7">
      <c r="A35" t="s">
        <v>144</v>
      </c>
      <c r="B35" s="40" t="s">
        <v>91</v>
      </c>
      <c r="C35" s="1"/>
      <c r="D35" s="1"/>
      <c r="E35" s="1"/>
      <c r="F35" s="1">
        <v>0.14499999999999999</v>
      </c>
      <c r="G35" s="91" t="s">
        <v>144</v>
      </c>
    </row>
    <row r="36" spans="1:7">
      <c r="A36" t="s">
        <v>145</v>
      </c>
      <c r="B36" s="40" t="s">
        <v>91</v>
      </c>
      <c r="C36" s="1"/>
      <c r="D36" s="20">
        <v>46239</v>
      </c>
      <c r="E36" s="20">
        <v>46361</v>
      </c>
      <c r="F36" s="1">
        <v>9.6000000000000002E-2</v>
      </c>
      <c r="G36" s="91" t="s">
        <v>145</v>
      </c>
    </row>
    <row r="37" spans="1:7">
      <c r="A37" t="s">
        <v>146</v>
      </c>
      <c r="B37" s="40" t="s">
        <v>91</v>
      </c>
      <c r="C37" s="1" t="s">
        <v>92</v>
      </c>
      <c r="D37" s="20">
        <v>46239</v>
      </c>
      <c r="E37" s="1" t="s">
        <v>140</v>
      </c>
      <c r="F37" s="1">
        <v>0.128</v>
      </c>
      <c r="G37" s="90" t="s">
        <v>146</v>
      </c>
    </row>
    <row r="38" spans="1:7" ht="14.25" customHeight="1">
      <c r="A38" t="s">
        <v>147</v>
      </c>
      <c r="B38" s="40" t="s">
        <v>91</v>
      </c>
      <c r="C38" s="1" t="s">
        <v>92</v>
      </c>
      <c r="D38" s="20">
        <v>46239</v>
      </c>
      <c r="E38" s="1" t="s">
        <v>140</v>
      </c>
      <c r="F38" s="1">
        <v>0.40300000000000002</v>
      </c>
      <c r="G38" s="82" t="s">
        <v>148</v>
      </c>
    </row>
    <row r="39" spans="1:7">
      <c r="A39" t="s">
        <v>149</v>
      </c>
      <c r="B39" s="40" t="s">
        <v>91</v>
      </c>
      <c r="C39" s="1" t="s">
        <v>92</v>
      </c>
      <c r="D39" s="20">
        <v>46239</v>
      </c>
      <c r="E39" s="1" t="s">
        <v>140</v>
      </c>
      <c r="F39" s="1">
        <v>1E-3</v>
      </c>
      <c r="G39" s="82" t="s">
        <v>149</v>
      </c>
    </row>
    <row r="40" spans="1:7">
      <c r="A40" t="s">
        <v>150</v>
      </c>
      <c r="B40" s="40" t="s">
        <v>91</v>
      </c>
      <c r="C40" s="1" t="s">
        <v>92</v>
      </c>
      <c r="D40" s="20">
        <v>46239</v>
      </c>
      <c r="E40" s="1" t="s">
        <v>140</v>
      </c>
      <c r="F40" s="1">
        <v>1.9E-2</v>
      </c>
      <c r="G40" s="82" t="s">
        <v>150</v>
      </c>
    </row>
    <row r="41" spans="1:7">
      <c r="A41" t="s">
        <v>151</v>
      </c>
      <c r="B41" s="40" t="s">
        <v>91</v>
      </c>
      <c r="C41" s="1" t="s">
        <v>92</v>
      </c>
      <c r="D41" s="20">
        <v>46239</v>
      </c>
      <c r="E41" s="1" t="s">
        <v>152</v>
      </c>
      <c r="F41" s="1">
        <v>8.06</v>
      </c>
      <c r="G41" s="82" t="s">
        <v>153</v>
      </c>
    </row>
    <row r="42" spans="1:7">
      <c r="A42" t="s">
        <v>154</v>
      </c>
      <c r="B42" s="40" t="s">
        <v>91</v>
      </c>
      <c r="C42" s="1" t="s">
        <v>92</v>
      </c>
      <c r="D42" s="20">
        <v>46239</v>
      </c>
      <c r="E42" s="1" t="s">
        <v>152</v>
      </c>
      <c r="F42" s="1">
        <v>0.97799999999999998</v>
      </c>
      <c r="G42" s="82" t="s">
        <v>155</v>
      </c>
    </row>
    <row r="43" spans="1:7">
      <c r="A43" t="s">
        <v>156</v>
      </c>
      <c r="B43" s="40" t="s">
        <v>91</v>
      </c>
      <c r="C43" s="1" t="s">
        <v>92</v>
      </c>
      <c r="D43" s="20">
        <v>46239</v>
      </c>
      <c r="E43" s="1" t="s">
        <v>152</v>
      </c>
      <c r="F43" s="1">
        <v>3.11</v>
      </c>
      <c r="G43" s="82" t="s">
        <v>157</v>
      </c>
    </row>
    <row r="44" spans="1:7">
      <c r="A44" t="s">
        <v>158</v>
      </c>
      <c r="B44" s="37" t="s">
        <v>97</v>
      </c>
      <c r="C44" s="1" t="s">
        <v>92</v>
      </c>
      <c r="D44" s="1"/>
      <c r="E44" s="1"/>
      <c r="F44" s="1">
        <v>0.77700000000000002</v>
      </c>
      <c r="G44" s="91" t="s">
        <v>159</v>
      </c>
    </row>
    <row r="45" spans="1:7">
      <c r="A45" t="s">
        <v>160</v>
      </c>
      <c r="B45" s="40" t="s">
        <v>91</v>
      </c>
      <c r="C45" s="1" t="s">
        <v>92</v>
      </c>
      <c r="D45" s="1"/>
      <c r="E45" s="1"/>
      <c r="F45" s="1">
        <v>0.33400000000000002</v>
      </c>
      <c r="G45" s="82" t="s">
        <v>161</v>
      </c>
    </row>
    <row r="46" spans="1:7">
      <c r="A46" t="s">
        <v>162</v>
      </c>
      <c r="B46" s="40" t="s">
        <v>91</v>
      </c>
      <c r="C46" s="1" t="s">
        <v>92</v>
      </c>
      <c r="D46" s="1"/>
      <c r="E46" s="1"/>
      <c r="F46" s="1">
        <v>1.52</v>
      </c>
      <c r="G46" s="82" t="s">
        <v>163</v>
      </c>
    </row>
    <row r="47" spans="1:7">
      <c r="A47" t="s">
        <v>164</v>
      </c>
      <c r="B47" s="40" t="s">
        <v>91</v>
      </c>
      <c r="C47" s="1" t="s">
        <v>92</v>
      </c>
      <c r="D47" s="1"/>
      <c r="E47" s="1"/>
      <c r="F47" s="1">
        <v>8.5999999999999993E-2</v>
      </c>
      <c r="G47" s="82" t="s">
        <v>164</v>
      </c>
    </row>
    <row r="48" spans="1:7">
      <c r="A48" t="s">
        <v>165</v>
      </c>
      <c r="B48" s="40" t="s">
        <v>91</v>
      </c>
      <c r="C48" s="1"/>
      <c r="D48" s="1"/>
      <c r="E48" s="1"/>
      <c r="F48" s="1">
        <v>0.373</v>
      </c>
      <c r="G48" s="91" t="s">
        <v>165</v>
      </c>
    </row>
    <row r="49" spans="1:7">
      <c r="A49" t="s">
        <v>166</v>
      </c>
      <c r="B49" s="37" t="s">
        <v>97</v>
      </c>
      <c r="C49" s="1" t="s">
        <v>92</v>
      </c>
      <c r="D49" s="1"/>
      <c r="E49" s="1"/>
      <c r="F49" s="1">
        <v>0.67600000000000005</v>
      </c>
      <c r="G49" s="91" t="s">
        <v>167</v>
      </c>
    </row>
    <row r="50" spans="1:7">
      <c r="A50" t="s">
        <v>168</v>
      </c>
      <c r="B50" s="40" t="s">
        <v>91</v>
      </c>
      <c r="C50" s="1" t="s">
        <v>92</v>
      </c>
      <c r="D50" s="1"/>
      <c r="E50" s="1"/>
      <c r="F50" s="1">
        <v>6.3E-2</v>
      </c>
      <c r="G50" s="82" t="s">
        <v>169</v>
      </c>
    </row>
    <row r="51" spans="1:7">
      <c r="A51" t="s">
        <v>170</v>
      </c>
      <c r="B51" s="37" t="s">
        <v>97</v>
      </c>
      <c r="C51" s="1"/>
      <c r="D51" s="1"/>
      <c r="E51" s="1"/>
      <c r="F51" s="1">
        <v>3.96</v>
      </c>
      <c r="G51" s="82" t="s">
        <v>171</v>
      </c>
    </row>
    <row r="52" spans="1:7">
      <c r="A52" t="s">
        <v>172</v>
      </c>
      <c r="B52" s="37" t="s">
        <v>97</v>
      </c>
      <c r="C52" s="1"/>
      <c r="D52" s="20">
        <v>46239</v>
      </c>
      <c r="E52" s="20">
        <v>46361</v>
      </c>
      <c r="F52" s="1"/>
      <c r="G52" s="91" t="s">
        <v>172</v>
      </c>
    </row>
    <row r="53" spans="1:7">
      <c r="A53" s="1" t="s">
        <v>173</v>
      </c>
      <c r="B53" s="40" t="s">
        <v>91</v>
      </c>
      <c r="C53" s="1"/>
      <c r="D53" s="1"/>
      <c r="E53" s="1"/>
      <c r="F53" s="1">
        <v>0.66900000000000004</v>
      </c>
      <c r="G53" s="82" t="s">
        <v>173</v>
      </c>
    </row>
    <row r="54" spans="1:7">
      <c r="A54" s="1" t="s">
        <v>174</v>
      </c>
      <c r="B54" s="40" t="s">
        <v>91</v>
      </c>
      <c r="C54" s="1"/>
      <c r="D54" s="1"/>
      <c r="E54" s="1"/>
      <c r="F54" s="1">
        <v>0.153</v>
      </c>
      <c r="G54" s="82" t="s">
        <v>174</v>
      </c>
    </row>
    <row r="55" spans="1:7">
      <c r="A55" s="1"/>
      <c r="B55" s="1"/>
      <c r="C55" s="1"/>
      <c r="D55" s="1"/>
      <c r="E55" s="1"/>
      <c r="F55" s="1"/>
      <c r="G55" s="82"/>
    </row>
    <row r="56" spans="1:7">
      <c r="E56" t="s">
        <v>175</v>
      </c>
      <c r="F56">
        <f>SUM(F3:F55)</f>
        <v>79.403999999999982</v>
      </c>
    </row>
  </sheetData>
  <autoFilter ref="A1:G52" xr:uid="{3C549634-AD52-4DDD-9A3D-B424B261A69D}">
    <filterColumn colId="0" showButton="0"/>
    <filterColumn colId="1" showButton="0"/>
    <filterColumn colId="2" showButton="0"/>
    <filterColumn colId="3" showButton="0"/>
  </autoFilter>
  <sortState xmlns:xlrd2="http://schemas.microsoft.com/office/spreadsheetml/2017/richdata2" ref="A3:G55">
    <sortCondition ref="A3:A55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29A7-048E-4AD7-95D2-B39EE82EDB49}">
  <dimension ref="A1:J55"/>
  <sheetViews>
    <sheetView workbookViewId="0">
      <selection activeCell="A11" sqref="A11"/>
    </sheetView>
  </sheetViews>
  <sheetFormatPr defaultColWidth="11.42578125" defaultRowHeight="15"/>
  <cols>
    <col min="1" max="1" width="31" customWidth="1"/>
    <col min="2" max="2" width="29.7109375" customWidth="1"/>
    <col min="3" max="3" width="36.28515625" customWidth="1"/>
    <col min="4" max="4" width="20.28515625" customWidth="1"/>
    <col min="5" max="5" width="13.5703125" customWidth="1"/>
  </cols>
  <sheetData>
    <row r="1" spans="1:10" ht="58.5" customHeight="1">
      <c r="A1" s="21" t="s">
        <v>176</v>
      </c>
      <c r="B1" s="22"/>
      <c r="C1" s="22"/>
      <c r="D1" s="22"/>
      <c r="E1" s="22"/>
      <c r="F1" s="22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177</v>
      </c>
    </row>
    <row r="3" spans="1:10">
      <c r="A3" s="1" t="s">
        <v>178</v>
      </c>
      <c r="B3" s="23" t="s">
        <v>91</v>
      </c>
      <c r="C3" s="1" t="s">
        <v>15</v>
      </c>
      <c r="D3" s="20">
        <v>46178</v>
      </c>
      <c r="E3" s="1"/>
      <c r="F3" s="1">
        <v>0.85199999999999998</v>
      </c>
    </row>
    <row r="4" spans="1:10">
      <c r="A4" s="1" t="s">
        <v>179</v>
      </c>
      <c r="B4" s="23" t="s">
        <v>91</v>
      </c>
      <c r="C4" s="1" t="s">
        <v>15</v>
      </c>
      <c r="D4" s="20">
        <v>46178</v>
      </c>
      <c r="E4" s="1"/>
      <c r="F4" s="1">
        <v>0.94499999999999995</v>
      </c>
      <c r="I4" t="s">
        <v>180</v>
      </c>
      <c r="J4">
        <f>SUM(F3:F55)</f>
        <v>48.947000000000003</v>
      </c>
    </row>
    <row r="5" spans="1:10">
      <c r="A5" s="1" t="s">
        <v>181</v>
      </c>
      <c r="B5" s="23" t="s">
        <v>91</v>
      </c>
      <c r="C5" s="1" t="s">
        <v>15</v>
      </c>
      <c r="D5" s="20">
        <v>46178</v>
      </c>
      <c r="E5" s="1"/>
      <c r="F5" s="1">
        <v>6.95</v>
      </c>
    </row>
    <row r="6" spans="1:10">
      <c r="A6" s="1" t="s">
        <v>182</v>
      </c>
      <c r="B6" s="23" t="s">
        <v>91</v>
      </c>
      <c r="C6" s="1" t="s">
        <v>15</v>
      </c>
      <c r="D6" s="20">
        <v>46178</v>
      </c>
      <c r="E6" s="1"/>
      <c r="F6" s="1">
        <v>40.200000000000003</v>
      </c>
    </row>
    <row r="7" spans="1:10">
      <c r="A7" s="1" t="s">
        <v>183</v>
      </c>
      <c r="B7" s="23" t="s">
        <v>91</v>
      </c>
      <c r="C7" s="1" t="s">
        <v>19</v>
      </c>
      <c r="D7" s="20">
        <v>46208</v>
      </c>
      <c r="E7" s="1"/>
      <c r="F7" s="1"/>
    </row>
    <row r="8" spans="1:10">
      <c r="A8" s="1" t="s">
        <v>184</v>
      </c>
      <c r="B8" s="23" t="s">
        <v>91</v>
      </c>
      <c r="C8" s="1" t="s">
        <v>19</v>
      </c>
      <c r="D8" s="20">
        <v>46208</v>
      </c>
      <c r="E8" s="1"/>
      <c r="F8" s="1"/>
    </row>
    <row r="9" spans="1:10">
      <c r="A9" s="1" t="s">
        <v>185</v>
      </c>
      <c r="B9" s="23" t="s">
        <v>91</v>
      </c>
      <c r="C9" s="1" t="s">
        <v>19</v>
      </c>
      <c r="D9" s="20">
        <v>46208</v>
      </c>
      <c r="E9" s="1"/>
      <c r="F9" s="1"/>
    </row>
    <row r="10" spans="1:10">
      <c r="A10" s="1" t="s">
        <v>186</v>
      </c>
      <c r="B10" s="23" t="s">
        <v>91</v>
      </c>
      <c r="C10" s="1" t="s">
        <v>19</v>
      </c>
      <c r="D10" s="20">
        <v>46208</v>
      </c>
      <c r="E10" s="1"/>
      <c r="F10" s="1"/>
    </row>
    <row r="11" spans="1:10">
      <c r="A11" s="1">
        <v>50</v>
      </c>
      <c r="B11" s="1" t="s">
        <v>187</v>
      </c>
      <c r="C11" s="1" t="s">
        <v>19</v>
      </c>
      <c r="D11" s="20">
        <v>46208</v>
      </c>
      <c r="E11" s="1"/>
      <c r="F11" s="1"/>
    </row>
    <row r="12" spans="1:10">
      <c r="A12" s="1" t="s">
        <v>188</v>
      </c>
      <c r="B12" s="23" t="s">
        <v>91</v>
      </c>
      <c r="C12" s="1" t="s">
        <v>189</v>
      </c>
      <c r="D12" s="20">
        <v>46239</v>
      </c>
      <c r="E12" s="1"/>
      <c r="F12" s="1"/>
    </row>
    <row r="13" spans="1:10">
      <c r="A13" s="1"/>
      <c r="B13" s="1"/>
      <c r="C13" s="1"/>
      <c r="D13" s="1"/>
      <c r="E13" s="1"/>
      <c r="F13" s="1"/>
    </row>
    <row r="14" spans="1:10">
      <c r="A14" s="1"/>
      <c r="B14" s="1"/>
      <c r="C14" s="1"/>
      <c r="D14" s="1"/>
      <c r="E14" s="1"/>
      <c r="F14" s="1"/>
    </row>
    <row r="15" spans="1:10">
      <c r="A15" s="1"/>
      <c r="B15" s="1"/>
      <c r="C15" s="1"/>
      <c r="D15" s="1"/>
      <c r="E15" s="1"/>
      <c r="F15" s="1"/>
    </row>
    <row r="16" spans="1:10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72F0-DA85-40BC-9663-195080B73F08}">
  <dimension ref="A1:H55"/>
  <sheetViews>
    <sheetView workbookViewId="0">
      <selection activeCell="G5" sqref="G5"/>
    </sheetView>
  </sheetViews>
  <sheetFormatPr defaultColWidth="11.42578125" defaultRowHeight="15"/>
  <cols>
    <col min="1" max="1" width="47.42578125" customWidth="1"/>
    <col min="2" max="2" width="13.28515625" bestFit="1" customWidth="1"/>
    <col min="3" max="3" width="19.5703125" bestFit="1" customWidth="1"/>
    <col min="4" max="5" width="9.85546875" bestFit="1" customWidth="1"/>
    <col min="6" max="6" width="8.7109375" bestFit="1" customWidth="1"/>
    <col min="7" max="7" width="40.5703125" customWidth="1"/>
    <col min="8" max="8" width="14.42578125" bestFit="1" customWidth="1"/>
  </cols>
  <sheetData>
    <row r="1" spans="1:8" ht="57" customHeight="1">
      <c r="A1" s="111" t="s">
        <v>190</v>
      </c>
      <c r="B1" s="112"/>
      <c r="C1" s="112"/>
      <c r="D1" s="112"/>
      <c r="E1" s="112"/>
      <c r="F1" s="112"/>
      <c r="G1" s="112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33" t="s">
        <v>5</v>
      </c>
      <c r="F2" s="35" t="s">
        <v>191</v>
      </c>
      <c r="G2" s="4" t="s">
        <v>89</v>
      </c>
    </row>
    <row r="3" spans="1:8">
      <c r="A3" s="1" t="s">
        <v>192</v>
      </c>
      <c r="B3" s="19" t="s">
        <v>8</v>
      </c>
      <c r="C3" s="1" t="s">
        <v>193</v>
      </c>
      <c r="D3" s="96">
        <v>46208</v>
      </c>
      <c r="E3" s="101">
        <v>46239</v>
      </c>
      <c r="F3" s="36">
        <v>66.7</v>
      </c>
      <c r="G3" t="s">
        <v>194</v>
      </c>
    </row>
    <row r="4" spans="1:8">
      <c r="A4" s="1" t="s">
        <v>195</v>
      </c>
      <c r="B4" s="19" t="s">
        <v>8</v>
      </c>
      <c r="C4" s="24" t="s">
        <v>196</v>
      </c>
      <c r="D4" s="100" t="s">
        <v>152</v>
      </c>
      <c r="E4" s="100" t="s">
        <v>152</v>
      </c>
      <c r="F4" s="32">
        <v>9.7799999999999994</v>
      </c>
      <c r="G4" t="s">
        <v>197</v>
      </c>
      <c r="H4" s="110"/>
    </row>
    <row r="5" spans="1:8">
      <c r="A5" s="1" t="s">
        <v>198</v>
      </c>
      <c r="B5" s="19" t="s">
        <v>8</v>
      </c>
      <c r="C5" s="24" t="s">
        <v>196</v>
      </c>
      <c r="D5" s="100" t="s">
        <v>152</v>
      </c>
      <c r="E5" s="107" t="s">
        <v>152</v>
      </c>
      <c r="F5" s="32">
        <v>27.2</v>
      </c>
      <c r="G5" t="s">
        <v>199</v>
      </c>
      <c r="H5" s="32"/>
    </row>
    <row r="6" spans="1:8">
      <c r="A6" s="1" t="s">
        <v>200</v>
      </c>
      <c r="B6" s="19" t="s">
        <v>8</v>
      </c>
      <c r="C6" s="24" t="s">
        <v>201</v>
      </c>
      <c r="D6" s="101">
        <v>46331</v>
      </c>
      <c r="E6" s="101">
        <v>46331</v>
      </c>
      <c r="F6" s="41">
        <v>1.03E-2</v>
      </c>
      <c r="G6" t="s">
        <v>202</v>
      </c>
    </row>
    <row r="7" spans="1:8">
      <c r="A7" s="1" t="s">
        <v>203</v>
      </c>
      <c r="B7" s="19" t="s">
        <v>8</v>
      </c>
      <c r="C7" s="24" t="s">
        <v>196</v>
      </c>
      <c r="D7" s="100" t="s">
        <v>204</v>
      </c>
      <c r="E7" s="100" t="s">
        <v>204</v>
      </c>
      <c r="F7" s="32">
        <v>22.2</v>
      </c>
      <c r="G7" t="s">
        <v>205</v>
      </c>
    </row>
    <row r="8" spans="1:8">
      <c r="A8" s="42" t="s">
        <v>206</v>
      </c>
      <c r="B8" s="45" t="s">
        <v>187</v>
      </c>
      <c r="C8" s="43" t="s">
        <v>201</v>
      </c>
      <c r="D8" s="103">
        <v>46331</v>
      </c>
      <c r="E8" s="108"/>
      <c r="F8" s="44"/>
    </row>
    <row r="9" spans="1:8">
      <c r="A9" s="1" t="s">
        <v>207</v>
      </c>
      <c r="B9" s="26" t="s">
        <v>8</v>
      </c>
      <c r="C9" s="24" t="s">
        <v>201</v>
      </c>
      <c r="D9" s="101">
        <v>46331</v>
      </c>
      <c r="E9" s="101">
        <v>46331</v>
      </c>
      <c r="F9" s="41">
        <v>0.80200000000000005</v>
      </c>
      <c r="G9" t="s">
        <v>208</v>
      </c>
    </row>
    <row r="10" spans="1:8">
      <c r="A10" s="24" t="s">
        <v>209</v>
      </c>
      <c r="B10" s="38" t="s">
        <v>8</v>
      </c>
      <c r="C10" s="25" t="s">
        <v>201</v>
      </c>
      <c r="D10" s="97">
        <v>46331</v>
      </c>
      <c r="E10" s="34">
        <v>46331</v>
      </c>
      <c r="F10" s="41">
        <v>0.82</v>
      </c>
      <c r="G10" t="s">
        <v>210</v>
      </c>
    </row>
    <row r="11" spans="1:8">
      <c r="A11" s="1" t="s">
        <v>211</v>
      </c>
      <c r="B11" s="38" t="s">
        <v>8</v>
      </c>
      <c r="C11" s="25"/>
      <c r="E11" s="104"/>
      <c r="F11" s="32">
        <v>167</v>
      </c>
      <c r="G11" t="s">
        <v>205</v>
      </c>
    </row>
    <row r="12" spans="1:8">
      <c r="A12" s="18" t="s">
        <v>212</v>
      </c>
      <c r="B12" s="38" t="s">
        <v>8</v>
      </c>
      <c r="C12" s="30" t="s">
        <v>213</v>
      </c>
      <c r="D12" s="29">
        <v>46178</v>
      </c>
      <c r="E12" s="105">
        <v>46178</v>
      </c>
      <c r="F12" s="36">
        <v>6.26</v>
      </c>
      <c r="G12" s="81" t="s">
        <v>214</v>
      </c>
    </row>
    <row r="13" spans="1:8" ht="29.25">
      <c r="A13" s="17" t="s">
        <v>215</v>
      </c>
      <c r="B13" s="19" t="s">
        <v>8</v>
      </c>
      <c r="C13" s="30" t="s">
        <v>196</v>
      </c>
      <c r="D13" s="32" t="s">
        <v>152</v>
      </c>
      <c r="E13" s="100" t="s">
        <v>216</v>
      </c>
      <c r="F13" s="32">
        <v>21.3</v>
      </c>
      <c r="G13" s="89" t="s">
        <v>215</v>
      </c>
    </row>
    <row r="14" spans="1:8" ht="29.25">
      <c r="A14" s="17" t="s">
        <v>217</v>
      </c>
      <c r="B14" s="19" t="s">
        <v>8</v>
      </c>
      <c r="C14" s="30" t="s">
        <v>196</v>
      </c>
      <c r="D14" s="32" t="s">
        <v>152</v>
      </c>
      <c r="E14" s="100" t="s">
        <v>216</v>
      </c>
      <c r="F14" s="32">
        <v>29.3</v>
      </c>
      <c r="G14" s="81" t="s">
        <v>217</v>
      </c>
    </row>
    <row r="15" spans="1:8">
      <c r="A15" s="1" t="s">
        <v>218</v>
      </c>
      <c r="B15" s="19" t="s">
        <v>8</v>
      </c>
      <c r="C15" s="30" t="s">
        <v>213</v>
      </c>
      <c r="D15" s="27">
        <v>46178</v>
      </c>
      <c r="E15" s="28">
        <v>46208</v>
      </c>
      <c r="F15" s="36">
        <v>5.78</v>
      </c>
      <c r="G15" t="s">
        <v>219</v>
      </c>
    </row>
    <row r="16" spans="1:8">
      <c r="A16" s="1" t="s">
        <v>220</v>
      </c>
      <c r="B16" s="19" t="s">
        <v>8</v>
      </c>
      <c r="C16" s="25" t="s">
        <v>213</v>
      </c>
      <c r="D16" s="102">
        <v>46178</v>
      </c>
      <c r="E16" s="102">
        <v>46208</v>
      </c>
      <c r="F16" s="36">
        <v>29.4</v>
      </c>
      <c r="G16" s="81" t="s">
        <v>221</v>
      </c>
    </row>
    <row r="17" spans="1:8">
      <c r="A17" s="1" t="s">
        <v>112</v>
      </c>
      <c r="B17" s="19" t="s">
        <v>8</v>
      </c>
      <c r="C17" s="1" t="s">
        <v>193</v>
      </c>
      <c r="D17" s="102">
        <v>46208</v>
      </c>
      <c r="E17" s="106">
        <v>46208</v>
      </c>
      <c r="F17" s="36">
        <v>4.82</v>
      </c>
      <c r="G17" t="s">
        <v>113</v>
      </c>
    </row>
    <row r="18" spans="1:8">
      <c r="A18" s="1" t="s">
        <v>222</v>
      </c>
      <c r="B18" s="19" t="s">
        <v>8</v>
      </c>
      <c r="C18" s="1" t="s">
        <v>201</v>
      </c>
      <c r="D18" s="31">
        <v>46331</v>
      </c>
      <c r="E18" s="47">
        <v>46361</v>
      </c>
      <c r="F18" s="41">
        <v>4.2699999999999996</v>
      </c>
      <c r="G18" t="s">
        <v>223</v>
      </c>
    </row>
    <row r="19" spans="1:8">
      <c r="A19" s="1" t="s">
        <v>224</v>
      </c>
      <c r="B19" s="19" t="s">
        <v>8</v>
      </c>
      <c r="C19" s="1" t="s">
        <v>196</v>
      </c>
      <c r="D19" s="99" t="s">
        <v>225</v>
      </c>
      <c r="E19" s="24" t="s">
        <v>204</v>
      </c>
      <c r="F19" s="32">
        <v>33.9</v>
      </c>
      <c r="G19" s="1" t="s">
        <v>226</v>
      </c>
    </row>
    <row r="20" spans="1:8">
      <c r="A20" s="1" t="s">
        <v>227</v>
      </c>
      <c r="B20" s="19" t="s">
        <v>8</v>
      </c>
      <c r="C20" s="1" t="s">
        <v>201</v>
      </c>
      <c r="D20" s="31">
        <v>46331</v>
      </c>
      <c r="E20" s="47">
        <v>46361</v>
      </c>
      <c r="F20" s="41">
        <v>11.1</v>
      </c>
      <c r="G20" s="1" t="s">
        <v>228</v>
      </c>
    </row>
    <row r="21" spans="1:8">
      <c r="A21" s="1" t="s">
        <v>229</v>
      </c>
      <c r="B21" s="19" t="s">
        <v>8</v>
      </c>
      <c r="C21" s="1" t="s">
        <v>213</v>
      </c>
      <c r="D21" s="98">
        <v>46178</v>
      </c>
      <c r="E21" s="106">
        <v>46178</v>
      </c>
      <c r="F21" s="36">
        <v>26.8</v>
      </c>
      <c r="G21" t="s">
        <v>230</v>
      </c>
      <c r="H21" s="109">
        <f>SUM(F3:F50)</f>
        <v>733.0693</v>
      </c>
    </row>
    <row r="22" spans="1:8" ht="29.25">
      <c r="A22" s="17" t="s">
        <v>231</v>
      </c>
      <c r="B22" s="19" t="s">
        <v>8</v>
      </c>
      <c r="C22" s="1" t="s">
        <v>213</v>
      </c>
      <c r="D22" s="98">
        <v>46178</v>
      </c>
      <c r="E22" s="106">
        <v>46178</v>
      </c>
      <c r="F22" s="36">
        <v>2.92</v>
      </c>
      <c r="G22" s="81" t="s">
        <v>232</v>
      </c>
    </row>
    <row r="23" spans="1:8" ht="29.25">
      <c r="A23" s="17" t="s">
        <v>233</v>
      </c>
      <c r="B23" s="19" t="s">
        <v>8</v>
      </c>
      <c r="C23" s="1" t="s">
        <v>213</v>
      </c>
      <c r="D23" s="98">
        <v>46178</v>
      </c>
      <c r="E23" s="106">
        <v>46178</v>
      </c>
      <c r="F23" s="36">
        <v>48.8</v>
      </c>
      <c r="G23" s="81" t="s">
        <v>234</v>
      </c>
      <c r="H23" s="95" t="s">
        <v>235</v>
      </c>
    </row>
    <row r="24" spans="1:8">
      <c r="A24" s="1" t="s">
        <v>236</v>
      </c>
      <c r="B24" s="19" t="s">
        <v>8</v>
      </c>
      <c r="C24" s="1" t="s">
        <v>193</v>
      </c>
      <c r="D24" s="98">
        <v>46208</v>
      </c>
      <c r="E24" s="47">
        <v>46239</v>
      </c>
      <c r="F24" s="36">
        <v>2.65</v>
      </c>
      <c r="G24" t="s">
        <v>237</v>
      </c>
    </row>
    <row r="25" spans="1:8">
      <c r="A25" s="1" t="s">
        <v>238</v>
      </c>
      <c r="B25" s="19" t="s">
        <v>8</v>
      </c>
      <c r="C25" s="1" t="s">
        <v>196</v>
      </c>
      <c r="D25" s="1" t="s">
        <v>152</v>
      </c>
      <c r="E25" s="24" t="s">
        <v>216</v>
      </c>
      <c r="F25" s="32">
        <v>66.900000000000006</v>
      </c>
      <c r="G25" t="s">
        <v>238</v>
      </c>
    </row>
    <row r="26" spans="1:8">
      <c r="A26" s="1" t="s">
        <v>239</v>
      </c>
      <c r="B26" s="19" t="s">
        <v>8</v>
      </c>
      <c r="C26" s="1" t="s">
        <v>201</v>
      </c>
      <c r="D26" s="20">
        <v>46331</v>
      </c>
      <c r="E26" s="47">
        <v>46331</v>
      </c>
      <c r="F26" s="41">
        <v>1.04</v>
      </c>
      <c r="G26" t="s">
        <v>240</v>
      </c>
    </row>
    <row r="27" spans="1:8">
      <c r="A27" s="1" t="s">
        <v>241</v>
      </c>
      <c r="B27" s="19" t="s">
        <v>8</v>
      </c>
      <c r="C27" s="1" t="s">
        <v>213</v>
      </c>
      <c r="D27" s="98">
        <v>46178</v>
      </c>
      <c r="E27" s="106">
        <v>46208</v>
      </c>
      <c r="F27" s="36">
        <v>25.3</v>
      </c>
      <c r="G27" t="s">
        <v>242</v>
      </c>
    </row>
    <row r="28" spans="1:8">
      <c r="A28" s="1" t="s">
        <v>243</v>
      </c>
      <c r="B28" s="19" t="s">
        <v>8</v>
      </c>
      <c r="C28" s="1" t="s">
        <v>193</v>
      </c>
      <c r="D28" s="20">
        <v>46208</v>
      </c>
      <c r="E28" s="106">
        <v>46208</v>
      </c>
      <c r="F28" s="36">
        <v>3.71</v>
      </c>
      <c r="G28" t="s">
        <v>244</v>
      </c>
    </row>
    <row r="29" spans="1:8">
      <c r="A29" s="42" t="s">
        <v>245</v>
      </c>
      <c r="B29" s="45" t="s">
        <v>187</v>
      </c>
      <c r="C29" s="42" t="s">
        <v>201</v>
      </c>
      <c r="D29" s="46">
        <v>46331</v>
      </c>
      <c r="E29" s="43"/>
      <c r="F29" s="44"/>
    </row>
    <row r="30" spans="1:8">
      <c r="A30" s="1" t="s">
        <v>246</v>
      </c>
      <c r="B30" s="19" t="s">
        <v>8</v>
      </c>
      <c r="C30" s="1" t="s">
        <v>193</v>
      </c>
      <c r="D30" s="20">
        <v>46208</v>
      </c>
      <c r="E30" s="47">
        <v>46209</v>
      </c>
      <c r="F30" s="36">
        <v>1.99</v>
      </c>
      <c r="G30" s="1" t="s">
        <v>247</v>
      </c>
    </row>
    <row r="31" spans="1:8">
      <c r="A31" s="1" t="s">
        <v>248</v>
      </c>
      <c r="B31" s="1"/>
      <c r="C31" s="1" t="s">
        <v>196</v>
      </c>
      <c r="D31" s="1" t="s">
        <v>225</v>
      </c>
      <c r="E31" s="24"/>
      <c r="F31" s="32">
        <v>33.9</v>
      </c>
    </row>
    <row r="32" spans="1:8">
      <c r="A32" s="1" t="s">
        <v>249</v>
      </c>
      <c r="B32" s="19" t="s">
        <v>8</v>
      </c>
      <c r="C32" s="1" t="s">
        <v>193</v>
      </c>
      <c r="D32" s="98">
        <v>46208</v>
      </c>
      <c r="E32" s="20">
        <v>46239</v>
      </c>
      <c r="F32" s="36">
        <v>2.33</v>
      </c>
      <c r="G32" t="s">
        <v>250</v>
      </c>
    </row>
    <row r="33" spans="1:7">
      <c r="A33" s="1" t="s">
        <v>251</v>
      </c>
      <c r="B33" s="19" t="s">
        <v>8</v>
      </c>
      <c r="C33" s="1" t="s">
        <v>193</v>
      </c>
      <c r="D33" s="20">
        <v>46208</v>
      </c>
      <c r="E33" s="98">
        <v>46208</v>
      </c>
      <c r="F33" s="109">
        <v>1.57</v>
      </c>
      <c r="G33" t="s">
        <v>252</v>
      </c>
    </row>
    <row r="34" spans="1:7" ht="29.25">
      <c r="A34" s="1" t="s">
        <v>253</v>
      </c>
      <c r="B34" s="19" t="s">
        <v>8</v>
      </c>
      <c r="C34" s="1" t="s">
        <v>201</v>
      </c>
      <c r="D34" s="20">
        <v>46331</v>
      </c>
      <c r="E34" s="47">
        <v>46331</v>
      </c>
      <c r="F34" s="41">
        <v>1.7000000000000001E-2</v>
      </c>
      <c r="G34" s="81" t="s">
        <v>254</v>
      </c>
    </row>
    <row r="35" spans="1:7">
      <c r="A35" s="1" t="s">
        <v>255</v>
      </c>
      <c r="B35" s="19" t="s">
        <v>8</v>
      </c>
      <c r="C35" s="1"/>
      <c r="D35" s="1" t="s">
        <v>256</v>
      </c>
      <c r="E35" s="1" t="s">
        <v>257</v>
      </c>
      <c r="F35" s="32">
        <v>21.8</v>
      </c>
      <c r="G35" t="s">
        <v>258</v>
      </c>
    </row>
    <row r="36" spans="1:7">
      <c r="A36" s="1" t="s">
        <v>259</v>
      </c>
      <c r="B36" s="19" t="s">
        <v>8</v>
      </c>
      <c r="C36" s="1"/>
      <c r="D36" s="1" t="s">
        <v>257</v>
      </c>
      <c r="F36" s="24">
        <v>14.5</v>
      </c>
    </row>
    <row r="37" spans="1:7">
      <c r="A37" s="1" t="s">
        <v>260</v>
      </c>
      <c r="B37" s="1"/>
      <c r="C37" s="1"/>
      <c r="D37" s="20">
        <v>46028</v>
      </c>
      <c r="E37" s="24"/>
      <c r="F37" s="32">
        <v>38.200000000000003</v>
      </c>
    </row>
    <row r="38" spans="1:7">
      <c r="A38" s="1"/>
      <c r="B38" s="1"/>
      <c r="C38" s="1"/>
      <c r="D38" s="1"/>
      <c r="E38" s="24"/>
      <c r="F38" s="32"/>
    </row>
    <row r="39" spans="1:7">
      <c r="A39" s="1"/>
      <c r="B39" s="1"/>
      <c r="C39" s="1"/>
      <c r="D39" s="1"/>
      <c r="E39" s="24"/>
      <c r="F39" s="32"/>
    </row>
    <row r="40" spans="1:7">
      <c r="A40" s="1"/>
      <c r="B40" s="1"/>
      <c r="C40" s="1"/>
      <c r="D40" s="1"/>
      <c r="E40" s="24"/>
      <c r="F40" s="32"/>
    </row>
    <row r="41" spans="1:7">
      <c r="A41" s="1"/>
      <c r="B41" s="1"/>
      <c r="C41" s="1"/>
      <c r="D41" s="1"/>
      <c r="E41" s="24"/>
      <c r="F41" s="32"/>
    </row>
    <row r="42" spans="1:7">
      <c r="A42" s="1"/>
      <c r="B42" s="1"/>
      <c r="C42" s="1"/>
      <c r="D42" s="1"/>
      <c r="E42" s="24"/>
      <c r="F42" s="32"/>
    </row>
    <row r="43" spans="1:7">
      <c r="A43" s="1"/>
      <c r="B43" s="1"/>
      <c r="C43" s="1"/>
      <c r="D43" s="1"/>
      <c r="E43" s="24"/>
      <c r="F43" s="32"/>
    </row>
    <row r="44" spans="1:7">
      <c r="A44" s="1"/>
      <c r="B44" s="1"/>
      <c r="C44" s="1"/>
      <c r="D44" s="1"/>
      <c r="E44" s="24"/>
      <c r="F44" s="32"/>
    </row>
    <row r="45" spans="1:7">
      <c r="A45" s="1"/>
      <c r="B45" s="1"/>
      <c r="C45" s="1"/>
      <c r="D45" s="1"/>
      <c r="E45" s="24"/>
      <c r="F45" s="32"/>
    </row>
    <row r="46" spans="1:7">
      <c r="A46" s="1"/>
      <c r="B46" s="1"/>
      <c r="C46" s="1"/>
      <c r="D46" s="1"/>
      <c r="E46" s="24"/>
      <c r="F46" s="32"/>
    </row>
    <row r="47" spans="1:7">
      <c r="A47" s="1"/>
      <c r="B47" s="1"/>
      <c r="C47" s="1"/>
      <c r="D47" s="1"/>
      <c r="E47" s="24"/>
      <c r="F47" s="32"/>
    </row>
    <row r="48" spans="1:7">
      <c r="A48" s="1"/>
      <c r="B48" s="1"/>
      <c r="C48" s="1"/>
      <c r="D48" s="1"/>
      <c r="E48" s="24"/>
      <c r="F48" s="32"/>
    </row>
    <row r="49" spans="1:6">
      <c r="A49" s="1"/>
      <c r="B49" s="1"/>
      <c r="C49" s="1"/>
      <c r="D49" s="1"/>
      <c r="E49" s="24"/>
      <c r="F49" s="32"/>
    </row>
    <row r="50" spans="1:6">
      <c r="A50" s="1"/>
      <c r="B50" s="1"/>
      <c r="C50" s="1"/>
      <c r="D50" s="1"/>
      <c r="E50" s="24"/>
      <c r="F50" s="32"/>
    </row>
    <row r="51" spans="1:6">
      <c r="A51" s="1"/>
      <c r="B51" s="1"/>
      <c r="C51" s="1"/>
      <c r="D51" s="1"/>
      <c r="E51" s="24"/>
      <c r="F51" s="32"/>
    </row>
    <row r="52" spans="1:6">
      <c r="A52" s="1"/>
      <c r="B52" s="1"/>
      <c r="C52" s="1"/>
      <c r="D52" s="1"/>
      <c r="E52" s="24"/>
      <c r="F52" s="32"/>
    </row>
    <row r="53" spans="1:6">
      <c r="A53" s="1"/>
      <c r="B53" s="1"/>
      <c r="C53" s="1"/>
      <c r="D53" s="1"/>
      <c r="E53" s="24"/>
      <c r="F53" s="32"/>
    </row>
    <row r="54" spans="1:6">
      <c r="A54" s="1"/>
      <c r="B54" s="1"/>
      <c r="C54" s="1"/>
      <c r="D54" s="1"/>
      <c r="E54" s="24"/>
      <c r="F54" s="32"/>
    </row>
    <row r="55" spans="1:6">
      <c r="A55" s="1"/>
      <c r="B55" s="1"/>
      <c r="C55" s="1"/>
      <c r="D55" s="1"/>
      <c r="E55" s="24"/>
      <c r="F55" s="32"/>
    </row>
  </sheetData>
  <sortState xmlns:xlrd2="http://schemas.microsoft.com/office/spreadsheetml/2017/richdata2" ref="A3:H55">
    <sortCondition ref="A3:A55"/>
  </sortState>
  <mergeCells count="1">
    <mergeCell ref="A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5C59-4EC8-488F-9720-E7676362EC23}">
  <dimension ref="A1:J41"/>
  <sheetViews>
    <sheetView workbookViewId="0">
      <selection activeCell="C10" sqref="C10"/>
    </sheetView>
  </sheetViews>
  <sheetFormatPr defaultRowHeight="15"/>
  <cols>
    <col min="1" max="1" width="36.5703125" bestFit="1" customWidth="1"/>
    <col min="2" max="2" width="8.42578125" bestFit="1" customWidth="1"/>
    <col min="3" max="3" width="11.7109375" bestFit="1" customWidth="1"/>
    <col min="4" max="4" width="14" customWidth="1"/>
    <col min="5" max="6" width="11.42578125" bestFit="1" customWidth="1"/>
    <col min="7" max="8" width="16.140625" bestFit="1" customWidth="1"/>
  </cols>
  <sheetData>
    <row r="1" spans="1:10">
      <c r="A1" s="7"/>
      <c r="B1" s="7"/>
      <c r="C1" s="7"/>
      <c r="D1" s="7"/>
      <c r="E1" s="7"/>
      <c r="F1" s="7"/>
      <c r="G1" s="7"/>
      <c r="H1" s="7"/>
      <c r="I1" s="7"/>
    </row>
    <row r="2" spans="1:10">
      <c r="A2" s="8"/>
      <c r="B2" s="9">
        <v>2026</v>
      </c>
      <c r="C2" s="9">
        <v>2025</v>
      </c>
      <c r="D2" s="9">
        <v>2024</v>
      </c>
      <c r="E2" s="9">
        <v>2023</v>
      </c>
      <c r="F2" s="9">
        <v>2022</v>
      </c>
      <c r="G2" s="9">
        <v>2021</v>
      </c>
      <c r="H2" s="9">
        <v>2020</v>
      </c>
      <c r="I2" s="7"/>
      <c r="J2" s="16"/>
    </row>
    <row r="3" spans="1:10">
      <c r="A3" s="10" t="s">
        <v>261</v>
      </c>
      <c r="B3" s="8"/>
      <c r="C3" s="8"/>
      <c r="D3" s="8"/>
      <c r="E3" s="8"/>
      <c r="F3" s="8"/>
      <c r="G3" s="8"/>
      <c r="H3" s="8"/>
      <c r="I3" s="7"/>
    </row>
    <row r="4" spans="1:10">
      <c r="A4" s="10" t="s">
        <v>262</v>
      </c>
      <c r="B4" s="8"/>
      <c r="C4" s="11" t="s">
        <v>263</v>
      </c>
      <c r="D4" s="11" t="s">
        <v>263</v>
      </c>
      <c r="E4" s="11" t="s">
        <v>263</v>
      </c>
      <c r="F4" s="11" t="s">
        <v>263</v>
      </c>
      <c r="G4" s="11" t="s">
        <v>263</v>
      </c>
      <c r="H4" s="11" t="s">
        <v>263</v>
      </c>
      <c r="I4" s="8"/>
    </row>
    <row r="5" spans="1:10">
      <c r="A5" s="10" t="s">
        <v>264</v>
      </c>
      <c r="B5" s="11" t="s">
        <v>263</v>
      </c>
      <c r="C5" s="11" t="s">
        <v>263</v>
      </c>
      <c r="D5" s="11" t="s">
        <v>263</v>
      </c>
      <c r="E5" s="11" t="s">
        <v>263</v>
      </c>
      <c r="F5" s="11" t="s">
        <v>263</v>
      </c>
      <c r="G5" s="9" t="s">
        <v>124</v>
      </c>
      <c r="H5" s="11" t="s">
        <v>263</v>
      </c>
      <c r="I5" s="8"/>
    </row>
    <row r="6" spans="1:10">
      <c r="A6" s="9" t="s">
        <v>265</v>
      </c>
      <c r="B6" s="8"/>
      <c r="C6" s="11" t="s">
        <v>266</v>
      </c>
      <c r="D6" s="11" t="s">
        <v>263</v>
      </c>
      <c r="E6" s="8"/>
      <c r="F6" s="8"/>
      <c r="G6" s="8"/>
      <c r="H6" s="8"/>
      <c r="I6" s="7"/>
    </row>
    <row r="7" spans="1:10">
      <c r="A7" s="9" t="s">
        <v>20</v>
      </c>
      <c r="B7" s="8"/>
      <c r="C7" s="11" t="s">
        <v>263</v>
      </c>
      <c r="D7" s="11" t="s">
        <v>263</v>
      </c>
      <c r="E7" s="11" t="s">
        <v>263</v>
      </c>
      <c r="F7" s="11" t="s">
        <v>263</v>
      </c>
      <c r="G7" s="11" t="s">
        <v>263</v>
      </c>
      <c r="H7" s="11" t="s">
        <v>263</v>
      </c>
      <c r="I7" s="8"/>
    </row>
    <row r="8" spans="1:10">
      <c r="A8" s="9" t="s">
        <v>13</v>
      </c>
      <c r="B8" s="8"/>
      <c r="C8" s="11" t="s">
        <v>263</v>
      </c>
      <c r="D8" s="11" t="s">
        <v>263</v>
      </c>
      <c r="E8" s="11" t="s">
        <v>263</v>
      </c>
      <c r="F8" s="11" t="s">
        <v>263</v>
      </c>
      <c r="G8" s="9" t="s">
        <v>124</v>
      </c>
      <c r="H8" s="11" t="s">
        <v>263</v>
      </c>
      <c r="I8" s="8"/>
    </row>
    <row r="9" spans="1:10">
      <c r="A9" s="10" t="s">
        <v>267</v>
      </c>
      <c r="B9" s="8"/>
      <c r="C9" s="11" t="s">
        <v>263</v>
      </c>
      <c r="D9" s="11" t="s">
        <v>263</v>
      </c>
      <c r="E9" s="11" t="s">
        <v>263</v>
      </c>
      <c r="F9" s="11" t="s">
        <v>263</v>
      </c>
      <c r="G9" s="11" t="s">
        <v>263</v>
      </c>
      <c r="H9" s="11" t="s">
        <v>263</v>
      </c>
      <c r="I9" s="8"/>
    </row>
    <row r="10" spans="1:10">
      <c r="A10" s="10" t="s">
        <v>268</v>
      </c>
      <c r="B10" s="8"/>
      <c r="C10" s="11" t="s">
        <v>263</v>
      </c>
      <c r="D10" s="11" t="s">
        <v>263</v>
      </c>
      <c r="E10" s="11" t="s">
        <v>263</v>
      </c>
      <c r="F10" s="11" t="s">
        <v>263</v>
      </c>
      <c r="G10" s="11" t="s">
        <v>263</v>
      </c>
      <c r="H10" s="11" t="s">
        <v>263</v>
      </c>
      <c r="I10" s="8"/>
    </row>
    <row r="11" spans="1:10">
      <c r="A11" s="9" t="s">
        <v>269</v>
      </c>
      <c r="B11" s="8"/>
      <c r="C11" s="8"/>
      <c r="D11" s="11" t="s">
        <v>263</v>
      </c>
      <c r="E11" s="8"/>
      <c r="F11" s="8"/>
      <c r="G11" s="8"/>
      <c r="H11" s="8"/>
      <c r="I11" s="7"/>
    </row>
    <row r="12" spans="1:10">
      <c r="A12" s="9" t="s">
        <v>270</v>
      </c>
      <c r="B12" s="8"/>
      <c r="C12" s="8"/>
      <c r="D12" s="11" t="s">
        <v>263</v>
      </c>
      <c r="E12" s="11" t="s">
        <v>263</v>
      </c>
      <c r="F12" s="11" t="s">
        <v>263</v>
      </c>
      <c r="G12" s="8"/>
      <c r="H12" s="8"/>
      <c r="I12" s="7"/>
    </row>
    <row r="13" spans="1:10">
      <c r="A13" s="9" t="s">
        <v>38</v>
      </c>
      <c r="B13" s="8"/>
      <c r="C13" s="8"/>
      <c r="D13" s="11" t="s">
        <v>263</v>
      </c>
      <c r="E13" s="8"/>
      <c r="F13" s="8"/>
      <c r="G13" s="8"/>
      <c r="H13" s="8"/>
      <c r="I13" s="7"/>
    </row>
    <row r="14" spans="1:10">
      <c r="A14" s="7" t="s">
        <v>271</v>
      </c>
      <c r="B14" s="7"/>
      <c r="C14" s="12" t="s">
        <v>272</v>
      </c>
      <c r="D14" s="12" t="s">
        <v>272</v>
      </c>
      <c r="E14" s="11" t="s">
        <v>263</v>
      </c>
      <c r="F14" s="11" t="s">
        <v>263</v>
      </c>
      <c r="G14" s="11" t="s">
        <v>263</v>
      </c>
      <c r="H14" s="7"/>
      <c r="I14" s="7"/>
    </row>
    <row r="17" spans="1:8">
      <c r="A17" s="14" t="s">
        <v>273</v>
      </c>
    </row>
    <row r="18" spans="1:8">
      <c r="A18" s="4" t="s">
        <v>264</v>
      </c>
      <c r="D18" s="11" t="s">
        <v>263</v>
      </c>
      <c r="E18" s="11" t="s">
        <v>263</v>
      </c>
      <c r="F18" s="11" t="s">
        <v>263</v>
      </c>
      <c r="H18" s="11" t="s">
        <v>263</v>
      </c>
    </row>
    <row r="19" spans="1:8">
      <c r="A19" s="4" t="s">
        <v>274</v>
      </c>
      <c r="D19" s="11" t="s">
        <v>263</v>
      </c>
      <c r="F19" s="11" t="s">
        <v>263</v>
      </c>
      <c r="H19" s="11" t="s">
        <v>263</v>
      </c>
    </row>
    <row r="20" spans="1:8">
      <c r="A20" s="4"/>
    </row>
    <row r="21" spans="1:8">
      <c r="A21" s="4"/>
    </row>
    <row r="23" spans="1:8">
      <c r="A23" s="13"/>
    </row>
    <row r="25" spans="1:8">
      <c r="A25" s="14" t="s">
        <v>275</v>
      </c>
    </row>
    <row r="26" spans="1:8">
      <c r="A26" s="4" t="s">
        <v>264</v>
      </c>
      <c r="D26" s="11" t="s">
        <v>263</v>
      </c>
      <c r="E26" s="11" t="s">
        <v>263</v>
      </c>
      <c r="F26" s="11" t="s">
        <v>263</v>
      </c>
      <c r="G26" s="11" t="s">
        <v>263</v>
      </c>
      <c r="H26" s="11" t="s">
        <v>263</v>
      </c>
    </row>
    <row r="27" spans="1:8">
      <c r="A27" s="4" t="s">
        <v>86</v>
      </c>
      <c r="D27" s="11" t="s">
        <v>263</v>
      </c>
      <c r="E27" s="11" t="s">
        <v>263</v>
      </c>
      <c r="F27" s="11" t="s">
        <v>263</v>
      </c>
      <c r="G27" s="11" t="s">
        <v>263</v>
      </c>
      <c r="H27" s="11" t="s">
        <v>263</v>
      </c>
    </row>
    <row r="32" spans="1:8">
      <c r="A32" s="4"/>
      <c r="E32" s="9"/>
      <c r="F32" s="9"/>
    </row>
    <row r="33" spans="1:7">
      <c r="G33" s="9"/>
    </row>
    <row r="36" spans="1:7">
      <c r="A36" s="6"/>
    </row>
    <row r="37" spans="1:7">
      <c r="A37" s="5"/>
    </row>
    <row r="38" spans="1:7">
      <c r="A38" s="5"/>
    </row>
    <row r="39" spans="1:7">
      <c r="A39" s="15"/>
    </row>
    <row r="40" spans="1:7">
      <c r="A40" s="5"/>
    </row>
    <row r="41" spans="1:7">
      <c r="A4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D3DC-D3AA-4091-8338-87CF976979ED}">
  <dimension ref="A1:B7"/>
  <sheetViews>
    <sheetView workbookViewId="0">
      <selection activeCell="A7" sqref="A7"/>
    </sheetView>
  </sheetViews>
  <sheetFormatPr defaultRowHeight="15"/>
  <cols>
    <col min="1" max="1" width="40.85546875" customWidth="1"/>
    <col min="2" max="2" width="38.85546875" customWidth="1"/>
  </cols>
  <sheetData>
    <row r="1" spans="1:2">
      <c r="A1" s="95" t="s">
        <v>87</v>
      </c>
      <c r="B1" s="95" t="s">
        <v>190</v>
      </c>
    </row>
    <row r="2" spans="1:2">
      <c r="A2" t="s">
        <v>96</v>
      </c>
      <c r="B2" s="42" t="s">
        <v>206</v>
      </c>
    </row>
    <row r="3" spans="1:2">
      <c r="A3" t="s">
        <v>98</v>
      </c>
      <c r="B3" s="42" t="s">
        <v>245</v>
      </c>
    </row>
    <row r="4" spans="1:2">
      <c r="A4" t="s">
        <v>123</v>
      </c>
      <c r="B4" s="1" t="s">
        <v>248</v>
      </c>
    </row>
    <row r="5" spans="1:2">
      <c r="A5" t="s">
        <v>125</v>
      </c>
    </row>
    <row r="6" spans="1:2">
      <c r="A6" t="s">
        <v>132</v>
      </c>
      <c r="B6" s="1"/>
    </row>
    <row r="7" spans="1:2">
      <c r="A7" s="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Alberto Morales Martinez</dc:creator>
  <cp:keywords/>
  <dc:description/>
  <cp:lastModifiedBy/>
  <cp:revision/>
  <dcterms:created xsi:type="dcterms:W3CDTF">2026-04-30T01:15:49Z</dcterms:created>
  <dcterms:modified xsi:type="dcterms:W3CDTF">2026-06-05T20:03:26Z</dcterms:modified>
  <cp:category/>
  <cp:contentStatus/>
</cp:coreProperties>
</file>